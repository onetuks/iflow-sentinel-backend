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netu\Downloads\"/>
    </mc:Choice>
  </mc:AlternateContent>
  <xr:revisionPtr revIDLastSave="0" documentId="13_ncr:1_{5722EB88-3785-47CF-AA5F-00097481961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개요" sheetId="1" r:id="rId1"/>
    <sheet name="기능요건" sheetId="2" r:id="rId2"/>
  </sheets>
  <definedNames>
    <definedName name="_xlnm._FilterDatabase" localSheetId="1" hidden="1">기능요건!$A$3:$G$82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D34" i="1"/>
  <c r="D33" i="1"/>
  <c r="D32" i="1"/>
  <c r="D31" i="1"/>
  <c r="D30" i="1"/>
  <c r="D29" i="1"/>
  <c r="D28" i="1"/>
  <c r="D27" i="1"/>
  <c r="D26" i="1"/>
  <c r="D25" i="1"/>
  <c r="D24" i="1"/>
  <c r="D36" i="1" s="1"/>
</calcChain>
</file>

<file path=xl/sharedStrings.xml><?xml version="1.0" encoding="utf-8"?>
<sst xmlns="http://schemas.openxmlformats.org/spreadsheetml/2006/main" count="572" uniqueCount="333">
  <si>
    <r>
      <rPr>
        <b/>
        <sz val="16"/>
        <color rgb="FF1F3864"/>
        <rFont val="맑은 고딕"/>
        <family val="3"/>
        <charset val="129"/>
      </rPr>
      <t xml:space="preserve">iFlow Sentinel — </t>
    </r>
    <r>
      <rPr>
        <b/>
        <sz val="16"/>
        <color rgb="FF1F3864"/>
        <rFont val="Noto Sans CJK SC"/>
        <family val="2"/>
      </rPr>
      <t>기능요건 정의서</t>
    </r>
  </si>
  <si>
    <r>
      <rPr>
        <sz val="10"/>
        <color rgb="FF404040"/>
        <rFont val="맑은 고딕"/>
        <family val="3"/>
        <charset val="129"/>
      </rPr>
      <t xml:space="preserve">SAP Integration Suite </t>
    </r>
    <r>
      <rPr>
        <sz val="10"/>
        <color rgb="FF404040"/>
        <rFont val="Noto Sans CJK SC"/>
        <family val="2"/>
      </rPr>
      <t xml:space="preserve">프로젝트 규칙 준수 체커 </t>
    </r>
    <r>
      <rPr>
        <sz val="10"/>
        <color rgb="FF404040"/>
        <rFont val="맑은 고딕"/>
        <family val="3"/>
        <charset val="129"/>
      </rPr>
      <t>(Rule Compliance Checker)</t>
    </r>
  </si>
  <si>
    <t>문서명</t>
  </si>
  <si>
    <r>
      <rPr>
        <sz val="10"/>
        <color rgb="FF1A1A1A"/>
        <rFont val="맑은 고딕"/>
        <family val="3"/>
        <charset val="129"/>
      </rPr>
      <t xml:space="preserve">iFlow Sentinel </t>
    </r>
    <r>
      <rPr>
        <sz val="10"/>
        <color rgb="FF1A1A1A"/>
        <rFont val="Noto Sans CJK SC"/>
        <family val="2"/>
      </rPr>
      <t>기능요건 정의서</t>
    </r>
  </si>
  <si>
    <t>작성자</t>
  </si>
  <si>
    <t>박세영</t>
  </si>
  <si>
    <t>작성일</t>
  </si>
  <si>
    <t>2026-07-20</t>
  </si>
  <si>
    <t>버전</t>
  </si>
  <si>
    <r>
      <rPr>
        <sz val="10"/>
        <color rgb="FF1A1A1A"/>
        <rFont val="맑은 고딕"/>
        <family val="3"/>
        <charset val="129"/>
      </rPr>
      <t>v1.4  (</t>
    </r>
    <r>
      <rPr>
        <sz val="10"/>
        <color rgb="FF1A1A1A"/>
        <rFont val="Noto Sans CJK SC"/>
        <family val="2"/>
      </rPr>
      <t xml:space="preserve">오버라이드 개념 제거 </t>
    </r>
    <r>
      <rPr>
        <sz val="10"/>
        <color rgb="FF1A1A1A"/>
        <rFont val="맑은 고딕"/>
        <family val="3"/>
        <charset val="129"/>
      </rPr>
      <t xml:space="preserve">· </t>
    </r>
    <r>
      <rPr>
        <sz val="10"/>
        <color rgb="FF1A1A1A"/>
        <rFont val="Noto Sans CJK SC"/>
        <family val="2"/>
      </rPr>
      <t>전역</t>
    </r>
    <r>
      <rPr>
        <sz val="10"/>
        <color rgb="FF1A1A1A"/>
        <rFont val="맑은 고딕"/>
        <family val="3"/>
        <charset val="129"/>
      </rPr>
      <t>/</t>
    </r>
    <r>
      <rPr>
        <sz val="10"/>
        <color rgb="FF1A1A1A"/>
        <rFont val="Noto Sans CJK SC"/>
        <family val="2"/>
      </rPr>
      <t>프로젝트 규칙 선택</t>
    </r>
    <r>
      <rPr>
        <sz val="10"/>
        <color rgb="FF1A1A1A"/>
        <rFont val="맑은 고딕"/>
        <family val="3"/>
        <charset val="129"/>
      </rPr>
      <t>·</t>
    </r>
    <r>
      <rPr>
        <sz val="10"/>
        <color rgb="FF1A1A1A"/>
        <rFont val="Noto Sans CJK SC"/>
        <family val="2"/>
      </rPr>
      <t>복제 모델로 정리</t>
    </r>
    <r>
      <rPr>
        <sz val="10"/>
        <color rgb="FF1A1A1A"/>
        <rFont val="맑은 고딕"/>
        <family val="3"/>
        <charset val="129"/>
      </rPr>
      <t xml:space="preserve">; </t>
    </r>
    <r>
      <rPr>
        <sz val="10"/>
        <color rgb="FF1A1A1A"/>
        <rFont val="Noto Sans CJK SC"/>
        <family val="2"/>
      </rPr>
      <t xml:space="preserve">설계서 </t>
    </r>
    <r>
      <rPr>
        <sz val="10"/>
        <color rgb="FF1A1A1A"/>
        <rFont val="맑은 고딕"/>
        <family val="3"/>
        <charset val="129"/>
      </rPr>
      <t>v1.3 6.4</t>
    </r>
    <r>
      <rPr>
        <sz val="10"/>
        <color rgb="FF1A1A1A"/>
        <rFont val="Noto Sans CJK SC"/>
        <family val="2"/>
      </rPr>
      <t>절 반영</t>
    </r>
    <r>
      <rPr>
        <sz val="10"/>
        <color rgb="FF1A1A1A"/>
        <rFont val="맑은 고딕"/>
        <family val="3"/>
        <charset val="129"/>
      </rPr>
      <t>)</t>
    </r>
  </si>
  <si>
    <t>통신 방식</t>
  </si>
  <si>
    <r>
      <rPr>
        <sz val="10"/>
        <color rgb="FF1A1A1A"/>
        <rFont val="맑은 고딕"/>
        <family val="3"/>
        <charset val="129"/>
      </rPr>
      <t xml:space="preserve">SAP Integration Suite OData API </t>
    </r>
    <r>
      <rPr>
        <sz val="10"/>
        <color rgb="FF1A1A1A"/>
        <rFont val="Noto Sans CJK SC"/>
        <family val="2"/>
      </rPr>
      <t xml:space="preserve">직접 통신 </t>
    </r>
    <r>
      <rPr>
        <sz val="10"/>
        <color rgb="FF1A1A1A"/>
        <rFont val="맑은 고딕"/>
        <family val="3"/>
        <charset val="129"/>
      </rPr>
      <t xml:space="preserve">(HTTPS, ICC </t>
    </r>
    <r>
      <rPr>
        <sz val="10"/>
        <color rgb="FF1A1A1A"/>
        <rFont val="Noto Sans CJK SC"/>
        <family val="2"/>
      </rPr>
      <t>미적용</t>
    </r>
    <r>
      <rPr>
        <sz val="10"/>
        <color rgb="FF1A1A1A"/>
        <rFont val="맑은 고딕"/>
        <family val="3"/>
        <charset val="129"/>
      </rPr>
      <t>)</t>
    </r>
  </si>
  <si>
    <t>구현 형태</t>
  </si>
  <si>
    <r>
      <rPr>
        <sz val="10"/>
        <color rgb="FF1A1A1A"/>
        <rFont val="맑은 고딕"/>
        <family val="3"/>
        <charset val="129"/>
      </rPr>
      <t xml:space="preserve">Java(Spring Boot) </t>
    </r>
    <r>
      <rPr>
        <sz val="10"/>
        <color rgb="FF1A1A1A"/>
        <rFont val="Noto Sans CJK SC"/>
        <family val="2"/>
      </rPr>
      <t xml:space="preserve">백엔드 </t>
    </r>
    <r>
      <rPr>
        <sz val="10"/>
        <color rgb="FF1A1A1A"/>
        <rFont val="맑은 고딕"/>
        <family val="3"/>
        <charset val="129"/>
      </rPr>
      <t xml:space="preserve">+ Vue </t>
    </r>
    <r>
      <rPr>
        <sz val="10"/>
        <color rgb="FF1A1A1A"/>
        <rFont val="Noto Sans CJK SC"/>
        <family val="2"/>
      </rPr>
      <t>프론트엔드 웹서비스</t>
    </r>
  </si>
  <si>
    <t>■ 범례</t>
  </si>
  <si>
    <t>우선순위</t>
  </si>
  <si>
    <r>
      <rPr>
        <sz val="10"/>
        <color rgb="FF1A1A1A"/>
        <rFont val="맑은 고딕"/>
        <family val="3"/>
        <charset val="129"/>
      </rPr>
      <t xml:space="preserve">P0 : </t>
    </r>
    <r>
      <rPr>
        <sz val="10"/>
        <color rgb="FF1A1A1A"/>
        <rFont val="Noto Sans CJK SC"/>
        <family val="2"/>
      </rPr>
      <t xml:space="preserve">필수 핵심 </t>
    </r>
    <r>
      <rPr>
        <sz val="10"/>
        <color rgb="FF1A1A1A"/>
        <rFont val="맑은 고딕"/>
        <family val="3"/>
        <charset val="129"/>
      </rPr>
      <t xml:space="preserve">(MVP)  |  P1 : </t>
    </r>
    <r>
      <rPr>
        <sz val="10"/>
        <color rgb="FF1A1A1A"/>
        <rFont val="Noto Sans CJK SC"/>
        <family val="2"/>
      </rPr>
      <t xml:space="preserve">주요  </t>
    </r>
    <r>
      <rPr>
        <sz val="10"/>
        <color rgb="FF1A1A1A"/>
        <rFont val="맑은 고딕"/>
        <family val="3"/>
        <charset val="129"/>
      </rPr>
      <t xml:space="preserve">|  P2 : </t>
    </r>
    <r>
      <rPr>
        <sz val="10"/>
        <color rgb="FF1A1A1A"/>
        <rFont val="Noto Sans CJK SC"/>
        <family val="2"/>
      </rPr>
      <t>향후</t>
    </r>
    <r>
      <rPr>
        <sz val="10"/>
        <color rgb="FF1A1A1A"/>
        <rFont val="맑은 고딕"/>
        <family val="3"/>
        <charset val="129"/>
      </rPr>
      <t>/</t>
    </r>
    <r>
      <rPr>
        <sz val="10"/>
        <color rgb="FF1A1A1A"/>
        <rFont val="Noto Sans CJK SC"/>
        <family val="2"/>
      </rPr>
      <t>부가</t>
    </r>
  </si>
  <si>
    <t>구분</t>
  </si>
  <si>
    <t>필수 : 서비스 성립에 반드시 필요  |  선택 : 상황에 따라 선택 적용</t>
  </si>
  <si>
    <r>
      <rPr>
        <b/>
        <sz val="10"/>
        <color rgb="FF1F3864"/>
        <rFont val="맑은 고딕"/>
        <family val="3"/>
        <charset val="129"/>
      </rPr>
      <t xml:space="preserve">■ v1.4 </t>
    </r>
    <r>
      <rPr>
        <b/>
        <sz val="10"/>
        <color rgb="FF1F3864"/>
        <rFont val="Noto Sans CJK SC"/>
        <family val="2"/>
      </rPr>
      <t xml:space="preserve">변경 요약 </t>
    </r>
    <r>
      <rPr>
        <b/>
        <sz val="10"/>
        <color rgb="FF1F3864"/>
        <rFont val="맑은 고딕"/>
        <family val="3"/>
        <charset val="129"/>
      </rPr>
      <t xml:space="preserve">(v1.3 </t>
    </r>
    <r>
      <rPr>
        <b/>
        <sz val="10"/>
        <color rgb="FF1F3864"/>
        <rFont val="Noto Sans CJK SC"/>
        <family val="2"/>
      </rPr>
      <t>대비</t>
    </r>
    <r>
      <rPr>
        <b/>
        <sz val="10"/>
        <color rgb="FF1F3864"/>
        <rFont val="맑은 고딕"/>
        <family val="3"/>
        <charset val="129"/>
      </rPr>
      <t>)</t>
    </r>
  </si>
  <si>
    <t>규칙 적용에서 «오버라이드(전역 규칙 재정의)» 개념 제거 — 전역 규칙과 다른 값이 필요하면 전역 규칙을 끄고 독립적인 새 규칙(프로젝트/전역)을 생성·적용하는 방식으로 통일 (설계서 6.4절 일치, 별도 Binding·오버라이드 객체 불필요)</t>
  </si>
  <si>
    <t>RUL-011을 «전역 규칙 기반 프로젝트 규칙 생성(오버라이드)»에서 «규칙 복제(다른 값 적용)»로 재정의 — 원본 규칙과 연결·상속이 없는 독립 규칙을 생성</t>
  </si>
  <si>
    <t>PJR-005 적용 규칙 현황에서 «오버라이드 여부» 표기 삭제</t>
  </si>
  <si>
    <t>규칙·보안 항목의 설계서 참조 절 번호를 v1.3 목차에 맞춰 정정 (5.4→6.4, 5.6→6.6, 5.6.2→6.6.2, 5.6.3→6.6.3, 5.6.5→6.6.5)</t>
  </si>
  <si>
    <t>■ 기능그룹 요약</t>
  </si>
  <si>
    <t>그룹코드</t>
  </si>
  <si>
    <t>기능그룹</t>
  </si>
  <si>
    <t>기능 수</t>
  </si>
  <si>
    <t>TNT</t>
  </si>
  <si>
    <t>테넌트 관리</t>
  </si>
  <si>
    <t>ART</t>
  </si>
  <si>
    <t>아티팩트 수집·파싱</t>
  </si>
  <si>
    <t>RUL</t>
  </si>
  <si>
    <t>규칙 정의·관리</t>
  </si>
  <si>
    <t>PJR</t>
  </si>
  <si>
    <t>프로젝트 규칙 적용</t>
  </si>
  <si>
    <t>CHK</t>
  </si>
  <si>
    <t>검사 실행</t>
  </si>
  <si>
    <t>RPT</t>
  </si>
  <si>
    <t>결과 리포트</t>
  </si>
  <si>
    <t>PRM</t>
  </si>
  <si>
    <t>파라미터 버전 비교</t>
  </si>
  <si>
    <t>DPL</t>
  </si>
  <si>
    <t>배포 상태 추적</t>
  </si>
  <si>
    <t>INT</t>
  </si>
  <si>
    <t>연동 (CI 게이트)</t>
  </si>
  <si>
    <t>USR</t>
  </si>
  <si>
    <t>사용자·권한</t>
  </si>
  <si>
    <t>SEC</t>
  </si>
  <si>
    <t>보안</t>
  </si>
  <si>
    <t>SYS</t>
  </si>
  <si>
    <t>시스템·운영</t>
  </si>
  <si>
    <t>합계</t>
  </si>
  <si>
    <r>
      <rPr>
        <b/>
        <sz val="16"/>
        <color rgb="FF1F3864"/>
        <rFont val="맑은 고딕"/>
        <family val="3"/>
        <charset val="129"/>
      </rPr>
      <t xml:space="preserve">iFlow Sentinel </t>
    </r>
    <r>
      <rPr>
        <b/>
        <sz val="16"/>
        <color rgb="FF1F3864"/>
        <rFont val="Noto Sans CJK SC"/>
        <family val="2"/>
      </rPr>
      <t>기능요건 정의서</t>
    </r>
  </si>
  <si>
    <t>기능ID</t>
  </si>
  <si>
    <t>기능명</t>
  </si>
  <si>
    <t>상세설명</t>
  </si>
  <si>
    <t>비고</t>
  </si>
  <si>
    <t>TNT-001</t>
  </si>
  <si>
    <t>테넌트 등록</t>
  </si>
  <si>
    <t>프로젝트 하위에서 SAP Integration Suite 테넌트의 OData API URL, OAuth2 자격증명(Client ID/Secret, Token URL)을 등록한다. 테넌트는 프로젝트에 종속되며 다른 프로젝트와 공유되지 않는다.</t>
  </si>
  <si>
    <t>P0</t>
  </si>
  <si>
    <t>필수</t>
  </si>
  <si>
    <t>Project:Tenant = 1:N</t>
  </si>
  <si>
    <t>TNT-002</t>
  </si>
  <si>
    <t>테넌트 목록 조회</t>
  </si>
  <si>
    <t>프로젝트에 등록된 테넌트 목록을 환경별로 조회한다.</t>
  </si>
  <si>
    <t>TNT-003</t>
  </si>
  <si>
    <t>테넌트 수정</t>
  </si>
  <si>
    <t>등록된 테넌트의 접속 정보를 수정한다.</t>
  </si>
  <si>
    <t>TNT-004</t>
  </si>
  <si>
    <t>테넌트 삭제</t>
  </si>
  <si>
    <t>등록된 테넌트를 삭제한다.</t>
  </si>
  <si>
    <t>P1</t>
  </si>
  <si>
    <t>TNT-005</t>
  </si>
  <si>
    <t>연결 테스트</t>
  </si>
  <si>
    <t>저장 전·후 OData 연결 및 OAuth2 인증의 유효성을 검증하고 결과를 표시한다.</t>
  </si>
  <si>
    <r>
      <rPr>
        <sz val="10"/>
        <color rgb="FF1A1A1A"/>
        <rFont val="맑은 고딕"/>
        <family val="3"/>
        <charset val="129"/>
      </rPr>
      <t xml:space="preserve">401/403 </t>
    </r>
    <r>
      <rPr>
        <sz val="10"/>
        <color rgb="FF1A1A1A"/>
        <rFont val="Noto Sans CJK SC"/>
        <family val="2"/>
      </rPr>
      <t>사전 진단</t>
    </r>
  </si>
  <si>
    <t>TNT-006</t>
  </si>
  <si>
    <t>테넌트 플랫폼 구분</t>
  </si>
  <si>
    <r>
      <rPr>
        <sz val="10"/>
        <color rgb="FF1A1A1A"/>
        <rFont val="맑은 고딕"/>
        <family val="3"/>
        <charset val="129"/>
      </rPr>
      <t xml:space="preserve">Neo / Cloud Foundry </t>
    </r>
    <r>
      <rPr>
        <sz val="10"/>
        <color rgb="FF1A1A1A"/>
        <rFont val="Noto Sans CJK SC"/>
        <family val="2"/>
      </rPr>
      <t>배포 플랫폼을 구분해 관리한다</t>
    </r>
    <r>
      <rPr>
        <sz val="10"/>
        <color rgb="FF1A1A1A"/>
        <rFont val="맑은 고딕"/>
        <family val="3"/>
        <charset val="129"/>
      </rPr>
      <t>.</t>
    </r>
  </si>
  <si>
    <t>선택</t>
  </si>
  <si>
    <t>TenantPlatform</t>
  </si>
  <si>
    <t>TNT-007</t>
  </si>
  <si>
    <t>환경 구분</t>
  </si>
  <si>
    <t>테넌트 등록 시 DEV / QAS / PRD 등 환경 유형을 지정한다.</t>
  </si>
  <si>
    <t>ART-001</t>
  </si>
  <si>
    <t>패키지 목록 조회</t>
  </si>
  <si>
    <t>테넌트의 Integration Package 목록을 OData로 조회한다.</t>
  </si>
  <si>
    <t>IntegrationPackages</t>
  </si>
  <si>
    <t>ART-002</t>
  </si>
  <si>
    <t>아티팩트 목록 조회</t>
  </si>
  <si>
    <t>패키지 내 iFlow 등 아티팩트 목록을 조회한다.</t>
  </si>
  <si>
    <t>ART-003</t>
  </si>
  <si>
    <t>아티팩트 다운로드</t>
  </si>
  <si>
    <t>선택한 iFlow의 design-time 아티팩트(ZIP)를 다운로드한다.</t>
  </si>
  <si>
    <t>IntegrationDesigntimeArtifacts</t>
  </si>
  <si>
    <t>ART-004</t>
  </si>
  <si>
    <t>아티팩트 파싱</t>
  </si>
  <si>
    <r>
      <rPr>
        <sz val="10"/>
        <color rgb="FF1A1A1A"/>
        <rFont val="맑은 고딕"/>
        <family val="3"/>
        <charset val="129"/>
      </rPr>
      <t>ZIP</t>
    </r>
    <r>
      <rPr>
        <sz val="10"/>
        <color rgb="FF1A1A1A"/>
        <rFont val="Noto Sans CJK SC"/>
        <family val="2"/>
      </rPr>
      <t xml:space="preserve">을 해제하고 </t>
    </r>
    <r>
      <rPr>
        <sz val="10"/>
        <color rgb="FF1A1A1A"/>
        <rFont val="맑은 고딕"/>
        <family val="3"/>
        <charset val="129"/>
      </rPr>
      <t>.iflw(BPMN2 XML)</t>
    </r>
    <r>
      <rPr>
        <sz val="10"/>
        <color rgb="FF1A1A1A"/>
        <rFont val="Noto Sans CJK SC"/>
        <family val="2"/>
      </rPr>
      <t>를 파싱하여 파싱 모델</t>
    </r>
    <r>
      <rPr>
        <sz val="10"/>
        <color rgb="FF1A1A1A"/>
        <rFont val="맑은 고딕"/>
        <family val="3"/>
        <charset val="129"/>
      </rPr>
      <t>(</t>
    </r>
    <r>
      <rPr>
        <sz val="10"/>
        <color rgb="FF1A1A1A"/>
        <rFont val="Noto Sans CJK SC"/>
        <family val="2"/>
      </rPr>
      <t>참여자</t>
    </r>
    <r>
      <rPr>
        <sz val="10"/>
        <color rgb="FF1A1A1A"/>
        <rFont val="맑은 고딕"/>
        <family val="3"/>
        <charset val="129"/>
      </rPr>
      <t>·</t>
    </r>
    <r>
      <rPr>
        <sz val="10"/>
        <color rgb="FF1A1A1A"/>
        <rFont val="Noto Sans CJK SC"/>
        <family val="2"/>
      </rPr>
      <t>채널</t>
    </r>
    <r>
      <rPr>
        <sz val="10"/>
        <color rgb="FF1A1A1A"/>
        <rFont val="맑은 고딕"/>
        <family val="3"/>
        <charset val="129"/>
      </rPr>
      <t>·</t>
    </r>
    <r>
      <rPr>
        <sz val="10"/>
        <color rgb="FF1A1A1A"/>
        <rFont val="Noto Sans CJK SC"/>
        <family val="2"/>
      </rPr>
      <t>스텝 등 구조화된 사실의 집합</t>
    </r>
    <r>
      <rPr>
        <sz val="10"/>
        <color rgb="FF1A1A1A"/>
        <rFont val="맑은 고딕"/>
        <family val="3"/>
        <charset val="129"/>
      </rPr>
      <t>)</t>
    </r>
    <r>
      <rPr>
        <sz val="10"/>
        <color rgb="FF1A1A1A"/>
        <rFont val="Noto Sans CJK SC"/>
        <family val="2"/>
      </rPr>
      <t>을 생성한다</t>
    </r>
    <r>
      <rPr>
        <sz val="10"/>
        <color rgb="FF1A1A1A"/>
        <rFont val="맑은 고딕"/>
        <family val="3"/>
        <charset val="129"/>
      </rPr>
      <t>.</t>
    </r>
  </si>
  <si>
    <t>핵심 코어</t>
  </si>
  <si>
    <t>ART-005</t>
  </si>
  <si>
    <t>리소스 추출</t>
  </si>
  <si>
    <t>스크립트(Groovy/JS), 메시지 매핑, 외부화 파라미터(parameters.prop)를 추출한다.</t>
  </si>
  <si>
    <t>ART-006</t>
  </si>
  <si>
    <t>파싱 결과 캐싱</t>
  </si>
  <si>
    <t>동일 버전 아티팩트의 재파싱을 방지하기 위해 파싱 모델을 캐싱한다.</t>
  </si>
  <si>
    <t>P2</t>
  </si>
  <si>
    <t>성능</t>
  </si>
  <si>
    <t>ART-007</t>
  </si>
  <si>
    <t>버전 인식</t>
  </si>
  <si>
    <t>아티팩트의 설계/배포 버전을 식별한다.</t>
  </si>
  <si>
    <t>ART-008</t>
  </si>
  <si>
    <t>외부 참조 식별</t>
  </si>
  <si>
    <r>
      <rPr>
        <sz val="10"/>
        <color rgb="FF1A1A1A"/>
        <rFont val="맑은 고딕"/>
        <family val="3"/>
        <charset val="129"/>
      </rPr>
      <t>MANIFEST.MF</t>
    </r>
    <r>
      <rPr>
        <sz val="10"/>
        <color rgb="FF1A1A1A"/>
        <rFont val="Noto Sans CJK SC"/>
        <family val="2"/>
      </rPr>
      <t xml:space="preserve">의 </t>
    </r>
    <r>
      <rPr>
        <sz val="10"/>
        <color rgb="FF1A1A1A"/>
        <rFont val="맑은 고딕"/>
        <family val="3"/>
        <charset val="129"/>
      </rPr>
      <t>Require-Capability</t>
    </r>
    <r>
      <rPr>
        <sz val="10"/>
        <color rgb="FF1A1A1A"/>
        <rFont val="Noto Sans CJK SC"/>
        <family val="2"/>
      </rPr>
      <t xml:space="preserve">를 파싱해 외부 </t>
    </r>
    <r>
      <rPr>
        <sz val="10"/>
        <color rgb="FF1A1A1A"/>
        <rFont val="맑은 고딕"/>
        <family val="3"/>
        <charset val="129"/>
      </rPr>
      <t xml:space="preserve">ScriptCollection·FunctionLibraries </t>
    </r>
    <r>
      <rPr>
        <sz val="10"/>
        <color rgb="FF1A1A1A"/>
        <rFont val="Noto Sans CJK SC"/>
        <family val="2"/>
      </rPr>
      <t>참조를 식별하고</t>
    </r>
    <r>
      <rPr>
        <sz val="10"/>
        <color rgb="FF1A1A1A"/>
        <rFont val="맑은 고딕"/>
        <family val="3"/>
        <charset val="129"/>
      </rPr>
      <t xml:space="preserve">, </t>
    </r>
    <r>
      <rPr>
        <sz val="10"/>
        <color rgb="FF1A1A1A"/>
        <rFont val="Noto Sans CJK SC"/>
        <family val="2"/>
      </rPr>
      <t xml:space="preserve">원본 미확보 시 </t>
    </r>
    <r>
      <rPr>
        <sz val="10"/>
        <color rgb="FF1A1A1A"/>
        <rFont val="맑은 고딕"/>
        <family val="3"/>
        <charset val="129"/>
      </rPr>
      <t>'</t>
    </r>
    <r>
      <rPr>
        <sz val="10"/>
        <color rgb="FF1A1A1A"/>
        <rFont val="Noto Sans CJK SC"/>
        <family val="2"/>
      </rPr>
      <t>미해결</t>
    </r>
    <r>
      <rPr>
        <sz val="10"/>
        <color rgb="FF1A1A1A"/>
        <rFont val="맑은 고딕"/>
        <family val="3"/>
        <charset val="129"/>
      </rPr>
      <t>'</t>
    </r>
    <r>
      <rPr>
        <sz val="10"/>
        <color rgb="FF1A1A1A"/>
        <rFont val="Noto Sans CJK SC"/>
        <family val="2"/>
      </rPr>
      <t>로 표시한다</t>
    </r>
    <r>
      <rPr>
        <sz val="10"/>
        <color rgb="FF1A1A1A"/>
        <rFont val="맑은 고딕"/>
        <family val="3"/>
        <charset val="129"/>
      </rPr>
      <t>.</t>
    </r>
  </si>
  <si>
    <t>설계서 5.4</t>
  </si>
  <si>
    <t>RUL-001</t>
  </si>
  <si>
    <t>규칙 카탈로그 조회</t>
  </si>
  <si>
    <t>지원하는 규칙 타입 목록과 설명, 파라미터 정의를 조회한다.</t>
  </si>
  <si>
    <t>RUL-002</t>
  </si>
  <si>
    <t>규칙 생성 (UI)</t>
  </si>
  <si>
    <r>
      <rPr>
        <sz val="10"/>
        <color rgb="FF1A1A1A"/>
        <rFont val="맑은 고딕"/>
        <family val="3"/>
        <charset val="129"/>
      </rPr>
      <t xml:space="preserve">UI </t>
    </r>
    <r>
      <rPr>
        <sz val="10"/>
        <color rgb="FF1A1A1A"/>
        <rFont val="Noto Sans CJK SC"/>
        <family val="2"/>
      </rPr>
      <t>폼에서 규칙 타입을 선택하고 파라미터를 입력하여 규칙을 생성한다</t>
    </r>
    <r>
      <rPr>
        <sz val="10"/>
        <color rgb="FF1A1A1A"/>
        <rFont val="맑은 고딕"/>
        <family val="3"/>
        <charset val="129"/>
      </rPr>
      <t>.</t>
    </r>
  </si>
  <si>
    <r>
      <rPr>
        <sz val="10"/>
        <color rgb="FF1A1A1A"/>
        <rFont val="맑은 고딕"/>
        <family val="3"/>
        <charset val="129"/>
      </rPr>
      <t xml:space="preserve">UI </t>
    </r>
    <r>
      <rPr>
        <sz val="10"/>
        <color rgb="FF1A1A1A"/>
        <rFont val="Noto Sans CJK SC"/>
        <family val="2"/>
      </rPr>
      <t>규칙 빌더</t>
    </r>
  </si>
  <si>
    <t>RUL-003</t>
  </si>
  <si>
    <t>규칙 YAML 동기화</t>
  </si>
  <si>
    <r>
      <rPr>
        <sz val="10"/>
        <color rgb="FF1A1A1A"/>
        <rFont val="맑은 고딕"/>
        <family val="3"/>
        <charset val="129"/>
      </rPr>
      <t xml:space="preserve">UI </t>
    </r>
    <r>
      <rPr>
        <sz val="10"/>
        <color rgb="FF1A1A1A"/>
        <rFont val="Noto Sans CJK SC"/>
        <family val="2"/>
      </rPr>
      <t xml:space="preserve">입력 내용을 </t>
    </r>
    <r>
      <rPr>
        <sz val="10"/>
        <color rgb="FF1A1A1A"/>
        <rFont val="맑은 고딕"/>
        <family val="3"/>
        <charset val="129"/>
      </rPr>
      <t>YAML</t>
    </r>
    <r>
      <rPr>
        <sz val="10"/>
        <color rgb="FF1A1A1A"/>
        <rFont val="Noto Sans CJK SC"/>
        <family val="2"/>
      </rPr>
      <t>로 직렬화하고</t>
    </r>
    <r>
      <rPr>
        <sz val="10"/>
        <color rgb="FF1A1A1A"/>
        <rFont val="맑은 고딕"/>
        <family val="3"/>
        <charset val="129"/>
      </rPr>
      <t>, YAML</t>
    </r>
    <r>
      <rPr>
        <sz val="10"/>
        <color rgb="FF1A1A1A"/>
        <rFont val="Noto Sans CJK SC"/>
        <family val="2"/>
      </rPr>
      <t xml:space="preserve">을 </t>
    </r>
    <r>
      <rPr>
        <sz val="10"/>
        <color rgb="FF1A1A1A"/>
        <rFont val="맑은 고딕"/>
        <family val="3"/>
        <charset val="129"/>
      </rPr>
      <t>UI</t>
    </r>
    <r>
      <rPr>
        <sz val="10"/>
        <color rgb="FF1A1A1A"/>
        <rFont val="Noto Sans CJK SC"/>
        <family val="2"/>
      </rPr>
      <t>로 역직렬화한다</t>
    </r>
    <r>
      <rPr>
        <sz val="10"/>
        <color rgb="FF1A1A1A"/>
        <rFont val="맑은 고딕"/>
        <family val="3"/>
        <charset val="129"/>
      </rPr>
      <t>.</t>
    </r>
  </si>
  <si>
    <r>
      <rPr>
        <sz val="10"/>
        <color rgb="FF1A1A1A"/>
        <rFont val="맑은 고딕"/>
        <family val="3"/>
        <charset val="129"/>
      </rPr>
      <t>YAML=</t>
    </r>
    <r>
      <rPr>
        <sz val="10"/>
        <color rgb="FF1A1A1A"/>
        <rFont val="Noto Sans CJK SC"/>
        <family val="2"/>
      </rPr>
      <t>단일 진실 소스</t>
    </r>
  </si>
  <si>
    <t>RUL-004</t>
  </si>
  <si>
    <t>규칙 YAML 직접 편집</t>
  </si>
  <si>
    <t>고급 사용자를 위해 YAML 원문을 직접 편집하고 스키마로 검증한다.</t>
  </si>
  <si>
    <t>RUL-005</t>
  </si>
  <si>
    <t>규칙 수정</t>
  </si>
  <si>
    <t>기존 규칙의 파라미터·심각도를 수정한다.</t>
  </si>
  <si>
    <t>RUL-006</t>
  </si>
  <si>
    <t>규칙 삭제</t>
  </si>
  <si>
    <t>규칙을 삭제한다.</t>
  </si>
  <si>
    <t>RUL-007</t>
  </si>
  <si>
    <t>규칙 심각도 설정</t>
  </si>
  <si>
    <t>규칙별로 fail / warn / info 심각도를 지정한다.</t>
  </si>
  <si>
    <t>RUL-008</t>
  </si>
  <si>
    <t>규칙 활성/비활성</t>
  </si>
  <si>
    <t>규칙 자체를 개별적으로 on/off 한다.</t>
  </si>
  <si>
    <t>enabled</t>
  </si>
  <si>
    <t>RUL-009</t>
  </si>
  <si>
    <t>규칙 유효성 검증</t>
  </si>
  <si>
    <t>파라미터 누락·형식 오류 등 규칙 정의의 유효성을 검증한다.</t>
  </si>
  <si>
    <t>RUL-010</t>
  </si>
  <si>
    <t>규칙 범위 지정 (전역/프로젝트)</t>
  </si>
  <si>
    <t>규칙 생성 시 전역 규칙(isGlobal=true)인지 특정 프로젝트 전용 규칙(customProject)인지 지정한다.</t>
  </si>
  <si>
    <t>6.4</t>
  </si>
  <si>
    <t>RUL-011</t>
  </si>
  <si>
    <t>규칙 복제 (다른 값 적용)</t>
  </si>
  <si>
    <t>전역 규칙과 판단 로직(타입)은 같지만 값(파라미터·심각도·메시지)만 다르게 적용해야 할 때, 오버라이드가 아니라 기존 규칙을 복제해 값을 수정한 독립적인 새 규칙(프로젝트 규칙 또는 전역 규칙)을 생성한다. 원본과 연결·상속 관계가 없으며, 적용은 원본 전역 규칙을 끄고(ProjectRule.isEnabled=false) 새 규칙을 켜는 방식으로 한다.</t>
  </si>
  <si>
    <r>
      <rPr>
        <sz val="10"/>
        <color rgb="FF1A1A1A"/>
        <rFont val="맑은 고딕"/>
        <family val="3"/>
        <charset val="129"/>
      </rPr>
      <t xml:space="preserve">6.4 · </t>
    </r>
    <r>
      <rPr>
        <sz val="10"/>
        <color rgb="FF1A1A1A"/>
        <rFont val="Noto Sans CJK SC"/>
        <family val="2"/>
      </rPr>
      <t>오버라이드 대체</t>
    </r>
  </si>
  <si>
    <t>RUL-012</t>
  </si>
  <si>
    <t>사용자 정의 조건식 규칙 (custom-expression)</t>
  </si>
  <si>
    <t>카탈로그의 기존 타입으로 표현할 수 없는 검사를, 파싱 모델에 대한 읽기 전용 조건식으로 직접 정의한다.</t>
  </si>
  <si>
    <t>6.6</t>
  </si>
  <si>
    <t>RUL-013</t>
  </si>
  <si>
    <t>비주얼 조건 빌더</t>
  </si>
  <si>
    <t>경로 선택 → 연산자 → 값을 드롭다운으로 조합하고 AND/OR로 묶어, 코드 작성 없이 조건식을 구성한다.</t>
  </si>
  <si>
    <t>6.6.3 ①</t>
  </si>
  <si>
    <t>RUL-014</t>
  </si>
  <si>
    <t>조건식 직접 편집 (제한된 표현식)</t>
  </si>
  <si>
    <t>비주얼 빌더로 표현되지 않는 예외적 조건을, 부작용 없는 조회 전용 표현식(CEL류) 문법으로 직접 작성한다.</t>
  </si>
  <si>
    <t>6.6.3 ②</t>
  </si>
  <si>
    <t>RUL-015</t>
  </si>
  <si>
    <t>조건식 스키마 탐색기</t>
  </si>
  <si>
    <t>파싱 모델에서 사용 가능한 경로(participants, channels, steps 등)를 탐색·자동완성으로 제시한다.</t>
  </si>
  <si>
    <t>6.6.5</t>
  </si>
  <si>
    <t>RUL-016</t>
  </si>
  <si>
    <t>조건식 시험 실행</t>
  </si>
  <si>
    <t>저장 전 선택한 샘플 아티팩트에 조건식을 미리 실행해 어떤 위반이 잡히는지 보여준다.</t>
  </si>
  <si>
    <t>무력화 방지</t>
  </si>
  <si>
    <t>RUL-017</t>
  </si>
  <si>
    <t>조건식 평가 시간·복잡도 제한</t>
  </si>
  <si>
    <t>조건식이 아무리 복잡해도 검사 1회 평가가 정해진 시간 내 종료되도록 상한을 둔다.</t>
  </si>
  <si>
    <t>안전장치</t>
  </si>
  <si>
    <t>RUL-018</t>
  </si>
  <si>
    <t>조건식 스키마 버전 관리</t>
  </si>
  <si>
    <t>규칙에 파싱 모델 스키마 버전(schemaVersion)을 저장하고, 스키마가 바뀌면 구버전 조건식을 감지해 경고한다.</t>
  </si>
  <si>
    <t>PJR-001</t>
  </si>
  <si>
    <t>프로젝트 생성</t>
  </si>
  <si>
    <t>프로젝트(예: S-Oil IS 전환)를 생성하고 이름을 관리한다.</t>
  </si>
  <si>
    <t>PJR-002</t>
  </si>
  <si>
    <t>프로젝트-테넌트 등록</t>
  </si>
  <si>
    <t>프로젝트 하위에 DEV/QAS/PRD 등 여러 테넌트를 1:N으로 등록한다.</t>
  </si>
  <si>
    <r>
      <rPr>
        <sz val="10"/>
        <color rgb="FF1A1A1A"/>
        <rFont val="맑은 고딕"/>
        <family val="3"/>
        <charset val="129"/>
      </rPr>
      <t xml:space="preserve">TNT-001 </t>
    </r>
    <r>
      <rPr>
        <sz val="10"/>
        <color rgb="FF1A1A1A"/>
        <rFont val="Noto Sans CJK SC"/>
        <family val="2"/>
      </rPr>
      <t>연동</t>
    </r>
  </si>
  <si>
    <t>PJR-003</t>
  </si>
  <si>
    <t>전역 규칙 적용 선택</t>
  </si>
  <si>
    <t>프로젝트에서 사용할 전역 규칙을 목록에서 선택해 켜고 끈다.</t>
  </si>
  <si>
    <t>ProjectRule.isEnabled</t>
  </si>
  <si>
    <t>PJR-004</t>
  </si>
  <si>
    <t>프로젝트 규칙 적용 선택</t>
  </si>
  <si>
    <t>프로젝트에서 사용할 프로젝트 전용 규칙을 선택해 켜고 끈다.</t>
  </si>
  <si>
    <t>PJR-005</t>
  </si>
  <si>
    <t>적용 규칙 현황 조회</t>
  </si>
  <si>
    <t>프로젝트에 적용 중인 전역·프로젝트 규칙과 각각의 적용 여부(전역/프로젝트 범위 포함)를 한 화면에서 조회한다.</t>
  </si>
  <si>
    <t>읽기 전용 현황판</t>
  </si>
  <si>
    <t>PJR-006</t>
  </si>
  <si>
    <t>규칙 편집 바로가기</t>
  </si>
  <si>
    <t>적용 현황에서 특정 규칙을 선택해 규칙 화면으로 이동, 바로 편집한다.</t>
  </si>
  <si>
    <t>CHK-001</t>
  </si>
  <si>
    <t>단일 아티팩트 검사</t>
  </si>
  <si>
    <t>선택한 iFlow 하나에 대해 적용 규칙(전역·프로젝트, 조건식 포함) 검사를 수행한다.</t>
  </si>
  <si>
    <t>CHK-002</t>
  </si>
  <si>
    <t>배치 검사</t>
  </si>
  <si>
    <t>패키지/프로젝트 전체 아티팩트를 일괄 검사한다.</t>
  </si>
  <si>
    <t>CHK-003</t>
  </si>
  <si>
    <r>
      <rPr>
        <sz val="10"/>
        <color rgb="FF1A1A1A"/>
        <rFont val="맑은 고딕"/>
        <family val="3"/>
        <charset val="129"/>
      </rPr>
      <t xml:space="preserve">Cross-artifact </t>
    </r>
    <r>
      <rPr>
        <sz val="10"/>
        <color rgb="FF1A1A1A"/>
        <rFont val="Noto Sans CJK SC"/>
        <family val="2"/>
      </rPr>
      <t>규칙 처리</t>
    </r>
  </si>
  <si>
    <t>여러 iFlow를 함께 봐야 판정 가능한 규칙(예: ProcessDirect 송·수신 짝 검증)을 처리한다.</t>
  </si>
  <si>
    <t>웹서비스만 가능</t>
  </si>
  <si>
    <t>CHK-004</t>
  </si>
  <si>
    <t>검사 진행 상태</t>
  </si>
  <si>
    <t>검사 실행 진행률과 상태를 표시한다.</t>
  </si>
  <si>
    <t>CHK-005</t>
  </si>
  <si>
    <t>검사 이력 저장</t>
  </si>
  <si>
    <t>실행별 검사 결과를 저장한다.</t>
  </si>
  <si>
    <t>CHK-006</t>
  </si>
  <si>
    <t>온디맨드 실행</t>
  </si>
  <si>
    <t>웹 UI에서 즉시 검사를 실행한다.</t>
  </si>
  <si>
    <t>CHK-007</t>
  </si>
  <si>
    <r>
      <rPr>
        <sz val="10"/>
        <color rgb="FF1A1A1A"/>
        <rFont val="맑은 고딕"/>
        <family val="3"/>
        <charset val="129"/>
      </rPr>
      <t xml:space="preserve">API </t>
    </r>
    <r>
      <rPr>
        <sz val="10"/>
        <color rgb="FF1A1A1A"/>
        <rFont val="Noto Sans CJK SC"/>
        <family val="2"/>
      </rPr>
      <t>실행</t>
    </r>
  </si>
  <si>
    <t>외부(CI 등)에서 호출 가능한 REST 검사 실행 엔드포인트를 제공한다.</t>
  </si>
  <si>
    <t>RPT-001</t>
  </si>
  <si>
    <t>결과 요약</t>
  </si>
  <si>
    <t>검사 결과를 pass / warn / fail로 집계해 표시한다.</t>
  </si>
  <si>
    <t>RPT-002</t>
  </si>
  <si>
    <t>위반 상세</t>
  </si>
  <si>
    <t>위반 규칙, 대상 아티팩트, 위치(스텝/채널), 안내 메시지를 표시한다.</t>
  </si>
  <si>
    <t>RPT-003</t>
  </si>
  <si>
    <t>결과 필터/정렬</t>
  </si>
  <si>
    <t>심각도·아티팩트·규칙 기준으로 결과를 필터·정렬한다.</t>
  </si>
  <si>
    <t>RPT-004</t>
  </si>
  <si>
    <t>리포트 내보내기</t>
  </si>
  <si>
    <t>검사 결과를 Excel/PDF 형식으로 내보낸다.</t>
  </si>
  <si>
    <t>RPT-005</t>
  </si>
  <si>
    <t>이관 검토 리포트</t>
  </si>
  <si>
    <t>검토 체크리스트 형식의 이관 검토 리포트를 생성한다. 본 서비스는 이관을 자동으로 차단할 권한이 없으므로, FAIL 위반 시 '보류 권고' 문구로 담당자의 판단을 돕는 참고 자료로 제공한다.</t>
  </si>
  <si>
    <r>
      <rPr>
        <sz val="10"/>
        <color rgb="FF1A1A1A"/>
        <rFont val="맑은 고딕"/>
        <family val="3"/>
        <charset val="129"/>
      </rPr>
      <t>'</t>
    </r>
    <r>
      <rPr>
        <sz val="10"/>
        <color rgb="FF1A1A1A"/>
        <rFont val="Noto Sans CJK SC"/>
        <family val="2"/>
      </rPr>
      <t>차단</t>
    </r>
    <r>
      <rPr>
        <sz val="10"/>
        <color rgb="FF1A1A1A"/>
        <rFont val="맑은 고딕"/>
        <family val="3"/>
        <charset val="129"/>
      </rPr>
      <t xml:space="preserve">' </t>
    </r>
    <r>
      <rPr>
        <sz val="10"/>
        <color rgb="FF1A1A1A"/>
        <rFont val="Noto Sans CJK SC"/>
        <family val="2"/>
      </rPr>
      <t xml:space="preserve">아닌 </t>
    </r>
    <r>
      <rPr>
        <sz val="10"/>
        <color rgb="FF1A1A1A"/>
        <rFont val="맑은 고딕"/>
        <family val="3"/>
        <charset val="129"/>
      </rPr>
      <t>'</t>
    </r>
    <r>
      <rPr>
        <sz val="10"/>
        <color rgb="FF1A1A1A"/>
        <rFont val="Noto Sans CJK SC"/>
        <family val="2"/>
      </rPr>
      <t>보류 권고</t>
    </r>
    <r>
      <rPr>
        <sz val="10"/>
        <color rgb="FF1A1A1A"/>
        <rFont val="맑은 고딕"/>
        <family val="3"/>
        <charset val="129"/>
      </rPr>
      <t>'</t>
    </r>
  </si>
  <si>
    <t>RPT-006</t>
  </si>
  <si>
    <t>결과 비교</t>
  </si>
  <si>
    <t>이전 실행 대비 개선/악화 항목을 비교한다.</t>
  </si>
  <si>
    <t>PRM-001</t>
  </si>
  <si>
    <t>아티팩트 버전 목록 조회</t>
  </si>
  <si>
    <t>선택한 아티팩트의 이관 버전 목록을 조회한다.</t>
  </si>
  <si>
    <r>
      <rPr>
        <sz val="10"/>
        <color rgb="FF1A1A1A"/>
        <rFont val="맑은 고딕"/>
        <family val="3"/>
        <charset val="129"/>
      </rPr>
      <t xml:space="preserve">Designtime </t>
    </r>
    <r>
      <rPr>
        <sz val="10"/>
        <color rgb="FF1A1A1A"/>
        <rFont val="Noto Sans CJK SC"/>
        <family val="2"/>
      </rPr>
      <t>버전 이력</t>
    </r>
  </si>
  <si>
    <t>PRM-002</t>
  </si>
  <si>
    <t>버전별 파라미터 추출</t>
  </si>
  <si>
    <t>각 버전의 parameters.prop(설정값)과 parameters.propdef(기본값·타입)를 파싱하여 파라미터 집합을 만든다.</t>
  </si>
  <si>
    <t>파싱모델 parameters[] 활용</t>
  </si>
  <si>
    <t>PRM-003</t>
  </si>
  <si>
    <t>파라미터 버전 매트릭스</t>
  </si>
  <si>
    <t>파라미터명을 행, 버전을 열로 하는 매트릭스로 기본값/설정값을 나란히 표시한다.</t>
  </si>
  <si>
    <t>PRM-004</t>
  </si>
  <si>
    <t>버전 간 변경 강조</t>
  </si>
  <si>
    <t>버전 간 설정값이 달라진 파라미터 셀을 강조 표시한다.</t>
  </si>
  <si>
    <t>드리프트 점검</t>
  </si>
  <si>
    <t>PRM-005</t>
  </si>
  <si>
    <t>파라미터 검색/필터</t>
  </si>
  <si>
    <t>파라미터명으로 매트릭스를 검색·필터한다.</t>
  </si>
  <si>
    <t>PRM-006</t>
  </si>
  <si>
    <t>매트릭스 내보내기</t>
  </si>
  <si>
    <t>파라미터 버전 비교 결과를 Excel/CSV로 내보낸다.</t>
  </si>
  <si>
    <t>DPL-001</t>
  </si>
  <si>
    <t>설계 아티팩트 목록 조회</t>
  </si>
  <si>
    <r>
      <rPr>
        <sz val="10"/>
        <color rgb="FF1A1A1A"/>
        <rFont val="맑은 고딕"/>
        <family val="3"/>
        <charset val="129"/>
      </rPr>
      <t>IntegrationPackages</t>
    </r>
    <r>
      <rPr>
        <sz val="10"/>
        <color rgb="FF1A1A1A"/>
        <rFont val="Noto Sans CJK SC"/>
        <family val="2"/>
      </rPr>
      <t xml:space="preserve">와 하위 </t>
    </r>
    <r>
      <rPr>
        <sz val="10"/>
        <color rgb="FF1A1A1A"/>
        <rFont val="맑은 고딕"/>
        <family val="3"/>
        <charset val="129"/>
      </rPr>
      <t>IntegrationDesigntimeArtifacts</t>
    </r>
    <r>
      <rPr>
        <sz val="10"/>
        <color rgb="FF1A1A1A"/>
        <rFont val="Noto Sans CJK SC"/>
        <family val="2"/>
      </rPr>
      <t>로 설계</t>
    </r>
    <r>
      <rPr>
        <sz val="10"/>
        <color rgb="FF1A1A1A"/>
        <rFont val="맑은 고딕"/>
        <family val="3"/>
        <charset val="129"/>
      </rPr>
      <t xml:space="preserve">(Design-time) </t>
    </r>
    <r>
      <rPr>
        <sz val="10"/>
        <color rgb="FF1A1A1A"/>
        <rFont val="Noto Sans CJK SC"/>
        <family val="2"/>
      </rPr>
      <t>목록을 수집한다</t>
    </r>
    <r>
      <rPr>
        <sz val="10"/>
        <color rgb="FF1A1A1A"/>
        <rFont val="맑은 고딕"/>
        <family val="3"/>
        <charset val="129"/>
      </rPr>
      <t>.</t>
    </r>
  </si>
  <si>
    <t>이식: sap-artifact-tracker</t>
  </si>
  <si>
    <t>DPL-002</t>
  </si>
  <si>
    <t>런타임 아티팩트 목록 조회</t>
  </si>
  <si>
    <r>
      <rPr>
        <sz val="10"/>
        <color rgb="FF1A1A1A"/>
        <rFont val="맑은 고딕"/>
        <family val="3"/>
        <charset val="129"/>
      </rPr>
      <t>IntegrationRuntimeArtifacts</t>
    </r>
    <r>
      <rPr>
        <sz val="10"/>
        <color rgb="FF1A1A1A"/>
        <rFont val="Noto Sans CJK SC"/>
        <family val="2"/>
      </rPr>
      <t>로 런타임</t>
    </r>
    <r>
      <rPr>
        <sz val="10"/>
        <color rgb="FF1A1A1A"/>
        <rFont val="맑은 고딕"/>
        <family val="3"/>
        <charset val="129"/>
      </rPr>
      <t>(</t>
    </r>
    <r>
      <rPr>
        <sz val="10"/>
        <color rgb="FF1A1A1A"/>
        <rFont val="Noto Sans CJK SC"/>
        <family val="2"/>
      </rPr>
      <t>배포</t>
    </r>
    <r>
      <rPr>
        <sz val="10"/>
        <color rgb="FF1A1A1A"/>
        <rFont val="맑은 고딕"/>
        <family val="3"/>
        <charset val="129"/>
      </rPr>
      <t xml:space="preserve">) </t>
    </r>
    <r>
      <rPr>
        <sz val="10"/>
        <color rgb="FF1A1A1A"/>
        <rFont val="Noto Sans CJK SC"/>
        <family val="2"/>
      </rPr>
      <t>목록을 수집한다</t>
    </r>
    <r>
      <rPr>
        <sz val="10"/>
        <color rgb="FF1A1A1A"/>
        <rFont val="맑은 고딕"/>
        <family val="3"/>
        <charset val="129"/>
      </rPr>
      <t>.</t>
    </r>
  </si>
  <si>
    <t>DPL-003</t>
  </si>
  <si>
    <t>배포 상태 판별</t>
  </si>
  <si>
    <t>설계·런타임 목록을 식별자 기준으로 병합해 Deployed / Not Deployed / Inactive를 판별한다.</t>
  </si>
  <si>
    <t>핵심 병합 로직</t>
  </si>
  <si>
    <t>DPL-004</t>
  </si>
  <si>
    <t>상태 목록 표시</t>
  </si>
  <si>
    <t>패키지·아티팩트·상태를 컬럼으로 하는 통합 목록을 표시한다.</t>
  </si>
  <si>
    <t>DPL-005</t>
  </si>
  <si>
    <t>상태·이름 필터</t>
  </si>
  <si>
    <t>패키지명·아티팩트명·배포 상태로 목록을 실시간 필터한다.</t>
  </si>
  <si>
    <t>DPL-006</t>
  </si>
  <si>
    <t>미배포/불일치 강조</t>
  </si>
  <si>
    <r>
      <rPr>
        <sz val="10"/>
        <color rgb="FF1A1A1A"/>
        <rFont val="맑은 고딕"/>
        <family val="3"/>
        <charset val="129"/>
      </rPr>
      <t xml:space="preserve">Not Deployed·Inactive </t>
    </r>
    <r>
      <rPr>
        <sz val="10"/>
        <color rgb="FF1A1A1A"/>
        <rFont val="Noto Sans CJK SC"/>
        <family val="2"/>
      </rPr>
      <t>항목을 강조해 이관 누락</t>
    </r>
    <r>
      <rPr>
        <sz val="10"/>
        <color rgb="FF1A1A1A"/>
        <rFont val="맑은 고딕"/>
        <family val="3"/>
        <charset val="129"/>
      </rPr>
      <t>·</t>
    </r>
    <r>
      <rPr>
        <sz val="10"/>
        <color rgb="FF1A1A1A"/>
        <rFont val="Noto Sans CJK SC"/>
        <family val="2"/>
      </rPr>
      <t>정리 대상을 식별한다</t>
    </r>
    <r>
      <rPr>
        <sz val="10"/>
        <color rgb="FF1A1A1A"/>
        <rFont val="맑은 고딕"/>
        <family val="3"/>
        <charset val="129"/>
      </rPr>
      <t>.</t>
    </r>
  </si>
  <si>
    <t>INT-001</t>
  </si>
  <si>
    <r>
      <rPr>
        <sz val="10"/>
        <color rgb="FF1A1A1A"/>
        <rFont val="맑은 고딕"/>
        <family val="3"/>
        <charset val="129"/>
      </rPr>
      <t xml:space="preserve">CI </t>
    </r>
    <r>
      <rPr>
        <sz val="10"/>
        <color rgb="FF1A1A1A"/>
        <rFont val="Noto Sans CJK SC"/>
        <family val="2"/>
      </rPr>
      <t xml:space="preserve">게이트 </t>
    </r>
    <r>
      <rPr>
        <sz val="10"/>
        <color rgb="FF1A1A1A"/>
        <rFont val="맑은 고딕"/>
        <family val="3"/>
        <charset val="129"/>
      </rPr>
      <t>API</t>
    </r>
  </si>
  <si>
    <t>이관/커밋 시점에 자동 검사를 트리거하는 REST API를 제공한다.</t>
  </si>
  <si>
    <t>향후</t>
  </si>
  <si>
    <t>INT-002</t>
  </si>
  <si>
    <t>게이트 판정 연동</t>
  </si>
  <si>
    <r>
      <rPr>
        <sz val="10"/>
        <color rgb="FF1A1A1A"/>
        <rFont val="맑은 고딕"/>
        <family val="3"/>
        <charset val="129"/>
      </rPr>
      <t xml:space="preserve">fail </t>
    </r>
    <r>
      <rPr>
        <sz val="10"/>
        <color rgb="FF1A1A1A"/>
        <rFont val="Noto Sans CJK SC"/>
        <family val="2"/>
      </rPr>
      <t>존재 여부를 결과로 반환하여</t>
    </r>
    <r>
      <rPr>
        <sz val="10"/>
        <color rgb="FF1A1A1A"/>
        <rFont val="맑은 고딕"/>
        <family val="3"/>
        <charset val="129"/>
      </rPr>
      <t xml:space="preserve">, </t>
    </r>
    <r>
      <rPr>
        <sz val="10"/>
        <color rgb="FF1A1A1A"/>
        <rFont val="Noto Sans CJK SC"/>
        <family val="2"/>
      </rPr>
      <t xml:space="preserve">호출한 </t>
    </r>
    <r>
      <rPr>
        <sz val="10"/>
        <color rgb="FF1A1A1A"/>
        <rFont val="맑은 고딕"/>
        <family val="3"/>
        <charset val="129"/>
      </rPr>
      <t xml:space="preserve">CI </t>
    </r>
    <r>
      <rPr>
        <sz val="10"/>
        <color rgb="FF1A1A1A"/>
        <rFont val="Noto Sans CJK SC"/>
        <family val="2"/>
      </rPr>
      <t>파이프라인이 이를 근거로 자체적으로 스텝을 실패 처리할 수 있게 한다</t>
    </r>
    <r>
      <rPr>
        <sz val="10"/>
        <color rgb="FF1A1A1A"/>
        <rFont val="맑은 고딕"/>
        <family val="3"/>
        <charset val="129"/>
      </rPr>
      <t>.</t>
    </r>
  </si>
  <si>
    <t>향후 · CI 자체 판단</t>
  </si>
  <si>
    <t>INT-003</t>
  </si>
  <si>
    <t>알림 통지</t>
  </si>
  <si>
    <t>검사 결과를 메일/메신저로 통지한다.</t>
  </si>
  <si>
    <t>INT-004</t>
  </si>
  <si>
    <t>확장 트리거 연동</t>
  </si>
  <si>
    <r>
      <rPr>
        <sz val="10"/>
        <color rgb="FF1A1A1A"/>
        <rFont val="맑은 고딕"/>
        <family val="3"/>
        <charset val="129"/>
      </rPr>
      <t xml:space="preserve">Chrome </t>
    </r>
    <r>
      <rPr>
        <sz val="10"/>
        <color rgb="FF1A1A1A"/>
        <rFont val="Noto Sans CJK SC"/>
        <family val="2"/>
      </rPr>
      <t>확장에서 백엔드 검사를 호출하기 위한 엔드포인트를 제공한다</t>
    </r>
    <r>
      <rPr>
        <sz val="10"/>
        <color rgb="FF1A1A1A"/>
        <rFont val="맑은 고딕"/>
        <family val="3"/>
        <charset val="129"/>
      </rPr>
      <t>.</t>
    </r>
  </si>
  <si>
    <t>옵션 지름길</t>
  </si>
  <si>
    <t>USR-001</t>
  </si>
  <si>
    <t>사용자 인증</t>
  </si>
  <si>
    <t>로그인 및 세션을 관리한다.</t>
  </si>
  <si>
    <t>USR-002</t>
  </si>
  <si>
    <t>역할 기반 권한(RBAC)</t>
  </si>
  <si>
    <t>관리자/일반 사용자 등 역할별 권한을 구분한다.</t>
  </si>
  <si>
    <t>USR-003</t>
  </si>
  <si>
    <t>프로젝트 접근제어</t>
  </si>
  <si>
    <t>프로젝트 단위로 접근 권한을 부여한다.</t>
  </si>
  <si>
    <t>SEC-001</t>
  </si>
  <si>
    <t>자격증명 암호화 저장</t>
  </si>
  <si>
    <t>테넌트 OAuth2 자격증명을 암호화하여 저장한다.</t>
  </si>
  <si>
    <t>SEC-002</t>
  </si>
  <si>
    <r>
      <rPr>
        <sz val="10"/>
        <color rgb="FF1A1A1A"/>
        <rFont val="맑은 고딕"/>
        <family val="3"/>
        <charset val="129"/>
      </rPr>
      <t xml:space="preserve">HTTPS </t>
    </r>
    <r>
      <rPr>
        <sz val="10"/>
        <color rgb="FF1A1A1A"/>
        <rFont val="Noto Sans CJK SC"/>
        <family val="2"/>
      </rPr>
      <t>통신</t>
    </r>
  </si>
  <si>
    <r>
      <rPr>
        <sz val="10"/>
        <color rgb="FF1A1A1A"/>
        <rFont val="맑은 고딕"/>
        <family val="3"/>
        <charset val="129"/>
      </rPr>
      <t xml:space="preserve">SAP IS </t>
    </r>
    <r>
      <rPr>
        <sz val="10"/>
        <color rgb="FF1A1A1A"/>
        <rFont val="Noto Sans CJK SC"/>
        <family val="2"/>
      </rPr>
      <t xml:space="preserve">및 클라이언트와의 통신 전 구간에 </t>
    </r>
    <r>
      <rPr>
        <sz val="10"/>
        <color rgb="FF1A1A1A"/>
        <rFont val="맑은 고딕"/>
        <family val="3"/>
        <charset val="129"/>
      </rPr>
      <t>TLS</t>
    </r>
    <r>
      <rPr>
        <sz val="10"/>
        <color rgb="FF1A1A1A"/>
        <rFont val="Noto Sans CJK SC"/>
        <family val="2"/>
      </rPr>
      <t>를 적용한다</t>
    </r>
    <r>
      <rPr>
        <sz val="10"/>
        <color rgb="FF1A1A1A"/>
        <rFont val="맑은 고딕"/>
        <family val="3"/>
        <charset val="129"/>
      </rPr>
      <t>.</t>
    </r>
  </si>
  <si>
    <t>SEC-003</t>
  </si>
  <si>
    <t>조건식 평가 격리</t>
  </si>
  <si>
    <t>사용자 정의 조건식은 읽기 전용·부작용 없는 평가로 제한하고, 파일·네트워크 접근을 차단한다.</t>
  </si>
  <si>
    <t>6.6.2</t>
  </si>
  <si>
    <t>SEC-004</t>
  </si>
  <si>
    <t>감사 로그</t>
  </si>
  <si>
    <t>규칙 변경·검사 실행 등 주요 행위를 감사 로그로 기록한다.</t>
  </si>
  <si>
    <t>SEC-005</t>
  </si>
  <si>
    <t>민감정보 비노출</t>
  </si>
  <si>
    <t>파싱·리포트 과정에서 payload·자격증명이 노출되지 않도록 한다.</t>
  </si>
  <si>
    <t>SYS-001</t>
  </si>
  <si>
    <t>애플리케이션 로깅</t>
  </si>
  <si>
    <t>오류 및 주요 이벤트를 로깅한다.</t>
  </si>
  <si>
    <t>SYS-002</t>
  </si>
  <si>
    <t>환경설정 관리</t>
  </si>
  <si>
    <t>개발/운영 등 배포 환경별 설정을 분리 관리한다.</t>
  </si>
  <si>
    <t>SYS-003</t>
  </si>
  <si>
    <t>헬스체크</t>
  </si>
  <si>
    <t>서비스 상태를 점검하는 엔드포인트를 제공한다.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</si>
</sst>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6"/>
      <color rgb="FF1F3864"/>
      <name val="맑은 고딕"/>
      <family val="3"/>
      <charset val="129"/>
    </font>
    <font>
      <b/>
      <sz val="16"/>
      <color rgb="FF1F3864"/>
      <name val="Noto Sans CJK SC"/>
      <family val="2"/>
    </font>
    <font>
      <sz val="10"/>
      <color rgb="FF404040"/>
      <name val="맑은 고딕"/>
      <family val="3"/>
      <charset val="129"/>
    </font>
    <font>
      <sz val="10"/>
      <color rgb="FF404040"/>
      <name val="Noto Sans CJK SC"/>
      <family val="2"/>
    </font>
    <font>
      <b/>
      <sz val="10"/>
      <color rgb="FF1F3864"/>
      <name val="Noto Sans CJK SC"/>
      <family val="2"/>
      <charset val="1"/>
    </font>
    <font>
      <sz val="10"/>
      <color rgb="FF1A1A1A"/>
      <name val="맑은 고딕"/>
      <family val="3"/>
      <charset val="129"/>
    </font>
    <font>
      <sz val="10"/>
      <color rgb="FF1A1A1A"/>
      <name val="Noto Sans CJK SC"/>
      <family val="2"/>
    </font>
    <font>
      <sz val="10"/>
      <color rgb="FF1A1A1A"/>
      <name val="Noto Sans CJK SC"/>
      <family val="2"/>
      <charset val="1"/>
    </font>
    <font>
      <b/>
      <sz val="10"/>
      <color rgb="FF1F3864"/>
      <name val="맑은 고딕"/>
      <family val="3"/>
      <charset val="129"/>
    </font>
    <font>
      <b/>
      <sz val="10"/>
      <color rgb="FF1F3864"/>
      <name val="Noto Sans CJK SC"/>
      <family val="2"/>
    </font>
    <font>
      <b/>
      <sz val="10"/>
      <color rgb="FFFFFFFF"/>
      <name val="Noto Sans CJK SC"/>
      <family val="2"/>
      <charset val="1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1F2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/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6"/>
  <sheetViews>
    <sheetView showGridLines="0" topLeftCell="A10" zoomScaleNormal="100" workbookViewId="0">
      <selection activeCell="E29" sqref="E29"/>
    </sheetView>
  </sheetViews>
  <sheetFormatPr defaultColWidth="8.7109375" defaultRowHeight="15"/>
  <cols>
    <col min="1" max="1" width="2" customWidth="1"/>
    <col min="2" max="2" width="16" customWidth="1"/>
    <col min="3" max="3" width="30" customWidth="1"/>
    <col min="4" max="4" width="14" customWidth="1"/>
    <col min="5" max="7" width="12" customWidth="1"/>
  </cols>
  <sheetData>
    <row r="2" spans="2:7" ht="23.25" customHeight="1">
      <c r="B2" s="3" t="s">
        <v>0</v>
      </c>
    </row>
    <row r="3" spans="2:7" ht="15" customHeight="1">
      <c r="B3" s="4" t="s">
        <v>1</v>
      </c>
    </row>
    <row r="5" spans="2:7" ht="15" customHeight="1">
      <c r="B5" s="20" t="s">
        <v>2</v>
      </c>
      <c r="C5" s="18" t="s">
        <v>3</v>
      </c>
      <c r="D5" s="18"/>
      <c r="E5" s="18"/>
      <c r="F5" s="18"/>
      <c r="G5" s="18"/>
    </row>
    <row r="6" spans="2:7" ht="15" customHeight="1">
      <c r="B6" s="20" t="s">
        <v>4</v>
      </c>
      <c r="C6" s="19" t="s">
        <v>5</v>
      </c>
      <c r="D6" s="19"/>
      <c r="E6" s="19"/>
      <c r="F6" s="19"/>
      <c r="G6" s="19"/>
    </row>
    <row r="7" spans="2:7">
      <c r="B7" s="20" t="s">
        <v>6</v>
      </c>
      <c r="C7" s="18" t="s">
        <v>7</v>
      </c>
      <c r="D7" s="18"/>
      <c r="E7" s="18"/>
      <c r="F7" s="18"/>
      <c r="G7" s="18"/>
    </row>
    <row r="8" spans="2:7" ht="38.25" customHeight="1">
      <c r="B8" s="20" t="s">
        <v>8</v>
      </c>
      <c r="C8" s="18" t="s">
        <v>9</v>
      </c>
      <c r="D8" s="18"/>
      <c r="E8" s="18"/>
      <c r="F8" s="18"/>
      <c r="G8" s="18"/>
    </row>
    <row r="9" spans="2:7" ht="15" customHeight="1">
      <c r="B9" s="20" t="s">
        <v>10</v>
      </c>
      <c r="C9" s="18" t="s">
        <v>11</v>
      </c>
      <c r="D9" s="18"/>
      <c r="E9" s="18"/>
      <c r="F9" s="18"/>
      <c r="G9" s="18"/>
    </row>
    <row r="10" spans="2:7" ht="15" customHeight="1">
      <c r="B10" s="20" t="s">
        <v>12</v>
      </c>
      <c r="C10" s="18" t="s">
        <v>13</v>
      </c>
      <c r="D10" s="18"/>
      <c r="E10" s="18"/>
      <c r="F10" s="18"/>
      <c r="G10" s="18"/>
    </row>
    <row r="12" spans="2:7" ht="15" customHeight="1">
      <c r="B12" s="21" t="s">
        <v>14</v>
      </c>
      <c r="C12" s="21"/>
      <c r="D12" s="21"/>
      <c r="E12" s="21"/>
      <c r="F12" s="21"/>
      <c r="G12" s="21"/>
    </row>
    <row r="13" spans="2:7" ht="15" customHeight="1">
      <c r="B13" s="22" t="s">
        <v>15</v>
      </c>
      <c r="C13" s="18" t="s">
        <v>16</v>
      </c>
      <c r="D13" s="18"/>
      <c r="E13" s="18"/>
      <c r="F13" s="18"/>
      <c r="G13" s="18"/>
    </row>
    <row r="14" spans="2:7" ht="15" customHeight="1">
      <c r="B14" s="22" t="s">
        <v>17</v>
      </c>
      <c r="C14" s="19" t="s">
        <v>18</v>
      </c>
      <c r="D14" s="19"/>
      <c r="E14" s="19"/>
      <c r="F14" s="19"/>
      <c r="G14" s="19"/>
    </row>
    <row r="16" spans="2:7" ht="15" customHeight="1">
      <c r="B16" s="23" t="s">
        <v>19</v>
      </c>
      <c r="C16" s="24"/>
      <c r="D16" s="24"/>
      <c r="E16" s="24"/>
      <c r="F16" s="24"/>
      <c r="G16" s="25"/>
    </row>
    <row r="17" spans="2:7" ht="48" customHeight="1">
      <c r="B17" s="26">
        <v>1</v>
      </c>
      <c r="C17" s="19" t="s">
        <v>20</v>
      </c>
      <c r="D17" s="19"/>
      <c r="E17" s="19"/>
      <c r="F17" s="19"/>
      <c r="G17" s="19"/>
    </row>
    <row r="18" spans="2:7" ht="42.75" customHeight="1">
      <c r="B18" s="26">
        <v>2</v>
      </c>
      <c r="C18" s="19" t="s">
        <v>21</v>
      </c>
      <c r="D18" s="19"/>
      <c r="E18" s="19"/>
      <c r="F18" s="19"/>
      <c r="G18" s="19"/>
    </row>
    <row r="19" spans="2:7" ht="29.25" customHeight="1">
      <c r="B19" s="26">
        <v>3</v>
      </c>
      <c r="C19" s="19" t="s">
        <v>22</v>
      </c>
      <c r="D19" s="19"/>
      <c r="E19" s="19"/>
      <c r="F19" s="19"/>
      <c r="G19" s="19"/>
    </row>
    <row r="20" spans="2:7" ht="35.25" customHeight="1">
      <c r="B20" s="26">
        <v>4</v>
      </c>
      <c r="C20" s="19" t="s">
        <v>23</v>
      </c>
      <c r="D20" s="19"/>
      <c r="E20" s="19"/>
      <c r="F20" s="19"/>
      <c r="G20" s="19"/>
    </row>
    <row r="22" spans="2:7" ht="15" customHeight="1">
      <c r="B22" s="5" t="s">
        <v>24</v>
      </c>
    </row>
    <row r="23" spans="2:7" ht="15" customHeight="1">
      <c r="B23" s="6" t="s">
        <v>25</v>
      </c>
      <c r="C23" s="6" t="s">
        <v>26</v>
      </c>
      <c r="D23" s="6" t="s">
        <v>27</v>
      </c>
    </row>
    <row r="24" spans="2:7" ht="15" customHeight="1">
      <c r="B24" s="7" t="s">
        <v>28</v>
      </c>
      <c r="C24" s="8" t="s">
        <v>29</v>
      </c>
      <c r="D24" s="7">
        <f>COUNTIF(기능요건!$B:$B,C24)</f>
        <v>7</v>
      </c>
    </row>
    <row r="25" spans="2:7" ht="15" customHeight="1">
      <c r="B25" s="7" t="s">
        <v>30</v>
      </c>
      <c r="C25" s="8" t="s">
        <v>31</v>
      </c>
      <c r="D25" s="7">
        <f>COUNTIF(기능요건!$B:$B,C25)</f>
        <v>8</v>
      </c>
    </row>
    <row r="26" spans="2:7" ht="15" customHeight="1">
      <c r="B26" s="7" t="s">
        <v>32</v>
      </c>
      <c r="C26" s="8" t="s">
        <v>33</v>
      </c>
      <c r="D26" s="7">
        <f>COUNTIF(기능요건!$B:$B,C26)</f>
        <v>18</v>
      </c>
    </row>
    <row r="27" spans="2:7" ht="15" customHeight="1">
      <c r="B27" s="7" t="s">
        <v>34</v>
      </c>
      <c r="C27" s="8" t="s">
        <v>35</v>
      </c>
      <c r="D27" s="7">
        <f>COUNTIF(기능요건!$B:$B,C27)</f>
        <v>6</v>
      </c>
    </row>
    <row r="28" spans="2:7" ht="15" customHeight="1">
      <c r="B28" s="7" t="s">
        <v>36</v>
      </c>
      <c r="C28" s="8" t="s">
        <v>37</v>
      </c>
      <c r="D28" s="7">
        <f>COUNTIF(기능요건!$B:$B,C28)</f>
        <v>7</v>
      </c>
    </row>
    <row r="29" spans="2:7" ht="15" customHeight="1">
      <c r="B29" s="7" t="s">
        <v>38</v>
      </c>
      <c r="C29" s="8" t="s">
        <v>39</v>
      </c>
      <c r="D29" s="7">
        <f>COUNTIF(기능요건!$B:$B,C29)</f>
        <v>6</v>
      </c>
    </row>
    <row r="30" spans="2:7" ht="15" customHeight="1">
      <c r="B30" s="7" t="s">
        <v>40</v>
      </c>
      <c r="C30" s="8" t="s">
        <v>41</v>
      </c>
      <c r="D30" s="7">
        <f>COUNTIF(기능요건!$B:$B,C30)</f>
        <v>6</v>
      </c>
    </row>
    <row r="31" spans="2:7" ht="15" customHeight="1">
      <c r="B31" s="7" t="s">
        <v>42</v>
      </c>
      <c r="C31" s="8" t="s">
        <v>43</v>
      </c>
      <c r="D31" s="7">
        <f>COUNTIF(기능요건!$B:$B,C31)</f>
        <v>6</v>
      </c>
    </row>
    <row r="32" spans="2:7" ht="15" customHeight="1">
      <c r="B32" s="7" t="s">
        <v>44</v>
      </c>
      <c r="C32" s="8" t="s">
        <v>45</v>
      </c>
      <c r="D32" s="7">
        <f>COUNTIF(기능요건!$B:$B,C32)</f>
        <v>4</v>
      </c>
    </row>
    <row r="33" spans="2:4" ht="15" customHeight="1">
      <c r="B33" s="7" t="s">
        <v>46</v>
      </c>
      <c r="C33" s="8" t="s">
        <v>47</v>
      </c>
      <c r="D33" s="7">
        <f>COUNTIF(기능요건!$B:$B,C33)</f>
        <v>3</v>
      </c>
    </row>
    <row r="34" spans="2:4" ht="15" customHeight="1">
      <c r="B34" s="7" t="s">
        <v>48</v>
      </c>
      <c r="C34" s="8" t="s">
        <v>49</v>
      </c>
      <c r="D34" s="7">
        <f>COUNTIF(기능요건!$B:$B,C34)</f>
        <v>5</v>
      </c>
    </row>
    <row r="35" spans="2:4" ht="15" customHeight="1">
      <c r="B35" s="7" t="s">
        <v>50</v>
      </c>
      <c r="C35" s="8" t="s">
        <v>51</v>
      </c>
      <c r="D35" s="7">
        <f>COUNTIF(기능요건!$B:$B,C35)</f>
        <v>3</v>
      </c>
    </row>
    <row r="36" spans="2:4" ht="15" customHeight="1">
      <c r="B36" s="2" t="s">
        <v>52</v>
      </c>
      <c r="C36" s="2"/>
      <c r="D36" s="9">
        <f>SUM(D24:D35)</f>
        <v>79</v>
      </c>
    </row>
  </sheetData>
  <mergeCells count="15">
    <mergeCell ref="C19:G19"/>
    <mergeCell ref="C20:G20"/>
    <mergeCell ref="B36:C36"/>
    <mergeCell ref="B12:G12"/>
    <mergeCell ref="B16:G16"/>
    <mergeCell ref="C10:G10"/>
    <mergeCell ref="C13:G13"/>
    <mergeCell ref="C14:G14"/>
    <mergeCell ref="C17:G17"/>
    <mergeCell ref="C18:G18"/>
    <mergeCell ref="C5:G5"/>
    <mergeCell ref="C6:G6"/>
    <mergeCell ref="C7:G7"/>
    <mergeCell ref="C8:G8"/>
    <mergeCell ref="C9:G9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showGridLines="0" tabSelected="1" zoomScaleNormal="100" workbookViewId="0">
      <pane ySplit="3" topLeftCell="A19" activePane="bottomLeft" state="frozen"/>
      <selection pane="bottomLeft" activeCell="D29" sqref="D29"/>
    </sheetView>
  </sheetViews>
  <sheetFormatPr defaultColWidth="8.7109375" defaultRowHeight="15"/>
  <cols>
    <col min="1" max="1" width="11" customWidth="1"/>
    <col min="2" max="2" width="18" customWidth="1"/>
    <col min="3" max="3" width="26" customWidth="1"/>
    <col min="4" max="4" width="64" customWidth="1"/>
    <col min="5" max="5" width="10" customWidth="1"/>
    <col min="6" max="6" width="8" customWidth="1"/>
    <col min="7" max="7" width="20" customWidth="1"/>
  </cols>
  <sheetData>
    <row r="1" spans="1:7" ht="23.25" customHeight="1">
      <c r="A1" s="1" t="s">
        <v>53</v>
      </c>
      <c r="B1" s="1"/>
      <c r="C1" s="1"/>
      <c r="D1" s="1"/>
      <c r="E1" s="1"/>
      <c r="F1" s="1"/>
      <c r="G1" s="1"/>
    </row>
    <row r="3" spans="1:7" ht="21.75" customHeight="1">
      <c r="A3" s="6" t="s">
        <v>54</v>
      </c>
      <c r="B3" s="6" t="s">
        <v>26</v>
      </c>
      <c r="C3" s="6" t="s">
        <v>55</v>
      </c>
      <c r="D3" s="6" t="s">
        <v>56</v>
      </c>
      <c r="E3" s="6" t="s">
        <v>15</v>
      </c>
      <c r="F3" s="6" t="s">
        <v>17</v>
      </c>
      <c r="G3" s="6" t="s">
        <v>57</v>
      </c>
    </row>
    <row r="4" spans="1:7" ht="43.5" customHeight="1">
      <c r="A4" s="10" t="s">
        <v>58</v>
      </c>
      <c r="B4" s="11" t="s">
        <v>29</v>
      </c>
      <c r="C4" s="8" t="s">
        <v>59</v>
      </c>
      <c r="D4" s="12" t="s">
        <v>60</v>
      </c>
      <c r="E4" s="13" t="s">
        <v>61</v>
      </c>
      <c r="F4" s="11" t="s">
        <v>62</v>
      </c>
      <c r="G4" s="14" t="s">
        <v>63</v>
      </c>
    </row>
    <row r="5" spans="1:7" ht="15" customHeight="1">
      <c r="A5" s="10" t="s">
        <v>64</v>
      </c>
      <c r="B5" s="11" t="s">
        <v>29</v>
      </c>
      <c r="C5" s="8" t="s">
        <v>65</v>
      </c>
      <c r="D5" s="12" t="s">
        <v>66</v>
      </c>
      <c r="E5" s="13" t="s">
        <v>61</v>
      </c>
      <c r="F5" s="11" t="s">
        <v>62</v>
      </c>
      <c r="G5" s="14"/>
    </row>
    <row r="6" spans="1:7" ht="15" customHeight="1">
      <c r="A6" s="10" t="s">
        <v>67</v>
      </c>
      <c r="B6" s="11" t="s">
        <v>29</v>
      </c>
      <c r="C6" s="8" t="s">
        <v>68</v>
      </c>
      <c r="D6" s="12" t="s">
        <v>69</v>
      </c>
      <c r="E6" s="13" t="s">
        <v>61</v>
      </c>
      <c r="F6" s="11" t="s">
        <v>62</v>
      </c>
      <c r="G6" s="14"/>
    </row>
    <row r="7" spans="1:7" ht="15" customHeight="1">
      <c r="A7" s="10" t="s">
        <v>70</v>
      </c>
      <c r="B7" s="11" t="s">
        <v>29</v>
      </c>
      <c r="C7" s="8" t="s">
        <v>71</v>
      </c>
      <c r="D7" s="12" t="s">
        <v>72</v>
      </c>
      <c r="E7" s="15" t="s">
        <v>73</v>
      </c>
      <c r="F7" s="11" t="s">
        <v>62</v>
      </c>
      <c r="G7" s="14"/>
    </row>
    <row r="8" spans="1:7" ht="15" customHeight="1">
      <c r="A8" s="10" t="s">
        <v>74</v>
      </c>
      <c r="B8" s="11" t="s">
        <v>29</v>
      </c>
      <c r="C8" s="8" t="s">
        <v>75</v>
      </c>
      <c r="D8" s="12" t="s">
        <v>76</v>
      </c>
      <c r="E8" s="13" t="s">
        <v>61</v>
      </c>
      <c r="F8" s="11" t="s">
        <v>62</v>
      </c>
      <c r="G8" s="14" t="s">
        <v>77</v>
      </c>
    </row>
    <row r="9" spans="1:7" ht="15" customHeight="1">
      <c r="A9" s="10" t="s">
        <v>78</v>
      </c>
      <c r="B9" s="11" t="s">
        <v>29</v>
      </c>
      <c r="C9" s="8" t="s">
        <v>79</v>
      </c>
      <c r="D9" s="16" t="s">
        <v>80</v>
      </c>
      <c r="E9" s="15" t="s">
        <v>73</v>
      </c>
      <c r="F9" s="11" t="s">
        <v>81</v>
      </c>
      <c r="G9" s="14" t="s">
        <v>82</v>
      </c>
    </row>
    <row r="10" spans="1:7" ht="15" customHeight="1">
      <c r="A10" s="10" t="s">
        <v>83</v>
      </c>
      <c r="B10" s="11" t="s">
        <v>29</v>
      </c>
      <c r="C10" s="8" t="s">
        <v>84</v>
      </c>
      <c r="D10" s="12" t="s">
        <v>85</v>
      </c>
      <c r="E10" s="13" t="s">
        <v>61</v>
      </c>
      <c r="F10" s="11" t="s">
        <v>62</v>
      </c>
      <c r="G10" s="14"/>
    </row>
    <row r="11" spans="1:7" ht="15" customHeight="1">
      <c r="A11" s="10" t="s">
        <v>86</v>
      </c>
      <c r="B11" s="11" t="s">
        <v>31</v>
      </c>
      <c r="C11" s="8" t="s">
        <v>87</v>
      </c>
      <c r="D11" s="12" t="s">
        <v>88</v>
      </c>
      <c r="E11" s="13" t="s">
        <v>61</v>
      </c>
      <c r="F11" s="11" t="s">
        <v>62</v>
      </c>
      <c r="G11" s="14" t="s">
        <v>89</v>
      </c>
    </row>
    <row r="12" spans="1:7" ht="15" customHeight="1">
      <c r="A12" s="10" t="s">
        <v>90</v>
      </c>
      <c r="B12" s="11" t="s">
        <v>31</v>
      </c>
      <c r="C12" s="8" t="s">
        <v>91</v>
      </c>
      <c r="D12" s="12" t="s">
        <v>92</v>
      </c>
      <c r="E12" s="13" t="s">
        <v>61</v>
      </c>
      <c r="F12" s="11" t="s">
        <v>62</v>
      </c>
      <c r="G12" s="14"/>
    </row>
    <row r="13" spans="1:7" ht="23.25" customHeight="1">
      <c r="A13" s="10" t="s">
        <v>93</v>
      </c>
      <c r="B13" s="11" t="s">
        <v>31</v>
      </c>
      <c r="C13" s="8" t="s">
        <v>94</v>
      </c>
      <c r="D13" s="12" t="s">
        <v>95</v>
      </c>
      <c r="E13" s="13" t="s">
        <v>61</v>
      </c>
      <c r="F13" s="11" t="s">
        <v>62</v>
      </c>
      <c r="G13" s="14" t="s">
        <v>96</v>
      </c>
    </row>
    <row r="14" spans="1:7" ht="29.25" customHeight="1">
      <c r="A14" s="10" t="s">
        <v>97</v>
      </c>
      <c r="B14" s="11" t="s">
        <v>31</v>
      </c>
      <c r="C14" s="8" t="s">
        <v>98</v>
      </c>
      <c r="D14" s="16" t="s">
        <v>99</v>
      </c>
      <c r="E14" s="13" t="s">
        <v>61</v>
      </c>
      <c r="F14" s="11" t="s">
        <v>62</v>
      </c>
      <c r="G14" s="8" t="s">
        <v>100</v>
      </c>
    </row>
    <row r="15" spans="1:7" ht="29.25" customHeight="1">
      <c r="A15" s="10" t="s">
        <v>101</v>
      </c>
      <c r="B15" s="11" t="s">
        <v>31</v>
      </c>
      <c r="C15" s="8" t="s">
        <v>102</v>
      </c>
      <c r="D15" s="12" t="s">
        <v>103</v>
      </c>
      <c r="E15" s="13" t="s">
        <v>61</v>
      </c>
      <c r="F15" s="11" t="s">
        <v>62</v>
      </c>
      <c r="G15" s="14"/>
    </row>
    <row r="16" spans="1:7" ht="15" customHeight="1">
      <c r="A16" s="10" t="s">
        <v>104</v>
      </c>
      <c r="B16" s="11" t="s">
        <v>31</v>
      </c>
      <c r="C16" s="8" t="s">
        <v>105</v>
      </c>
      <c r="D16" s="12" t="s">
        <v>106</v>
      </c>
      <c r="E16" s="17" t="s">
        <v>107</v>
      </c>
      <c r="F16" s="11" t="s">
        <v>81</v>
      </c>
      <c r="G16" s="8" t="s">
        <v>108</v>
      </c>
    </row>
    <row r="17" spans="1:7" ht="15" customHeight="1">
      <c r="A17" s="10" t="s">
        <v>109</v>
      </c>
      <c r="B17" s="11" t="s">
        <v>31</v>
      </c>
      <c r="C17" s="8" t="s">
        <v>110</v>
      </c>
      <c r="D17" s="12" t="s">
        <v>111</v>
      </c>
      <c r="E17" s="15" t="s">
        <v>73</v>
      </c>
      <c r="F17" s="11" t="s">
        <v>62</v>
      </c>
      <c r="G17" s="14"/>
    </row>
    <row r="18" spans="1:7" ht="43.5" customHeight="1">
      <c r="A18" s="10" t="s">
        <v>112</v>
      </c>
      <c r="B18" s="11" t="s">
        <v>31</v>
      </c>
      <c r="C18" s="8" t="s">
        <v>113</v>
      </c>
      <c r="D18" s="16" t="s">
        <v>114</v>
      </c>
      <c r="E18" s="15" t="s">
        <v>73</v>
      </c>
      <c r="F18" s="11" t="s">
        <v>62</v>
      </c>
      <c r="G18" s="8" t="s">
        <v>115</v>
      </c>
    </row>
    <row r="19" spans="1:7" ht="15" customHeight="1">
      <c r="A19" s="10" t="s">
        <v>116</v>
      </c>
      <c r="B19" s="11" t="s">
        <v>33</v>
      </c>
      <c r="C19" s="8" t="s">
        <v>117</v>
      </c>
      <c r="D19" s="12" t="s">
        <v>118</v>
      </c>
      <c r="E19" s="13" t="s">
        <v>61</v>
      </c>
      <c r="F19" s="11" t="s">
        <v>62</v>
      </c>
      <c r="G19" s="14"/>
    </row>
    <row r="20" spans="1:7" ht="15" customHeight="1">
      <c r="A20" s="10" t="s">
        <v>119</v>
      </c>
      <c r="B20" s="11" t="s">
        <v>33</v>
      </c>
      <c r="C20" s="8" t="s">
        <v>120</v>
      </c>
      <c r="D20" s="16" t="s">
        <v>121</v>
      </c>
      <c r="E20" s="13" t="s">
        <v>61</v>
      </c>
      <c r="F20" s="11" t="s">
        <v>62</v>
      </c>
      <c r="G20" s="14" t="s">
        <v>122</v>
      </c>
    </row>
    <row r="21" spans="1:7" ht="15" customHeight="1">
      <c r="A21" s="10" t="s">
        <v>123</v>
      </c>
      <c r="B21" s="11" t="s">
        <v>33</v>
      </c>
      <c r="C21" s="8" t="s">
        <v>124</v>
      </c>
      <c r="D21" s="16" t="s">
        <v>125</v>
      </c>
      <c r="E21" s="13" t="s">
        <v>61</v>
      </c>
      <c r="F21" s="11" t="s">
        <v>62</v>
      </c>
      <c r="G21" s="14" t="s">
        <v>126</v>
      </c>
    </row>
    <row r="22" spans="1:7" ht="15" customHeight="1">
      <c r="A22" s="10" t="s">
        <v>127</v>
      </c>
      <c r="B22" s="11" t="s">
        <v>33</v>
      </c>
      <c r="C22" s="8" t="s">
        <v>128</v>
      </c>
      <c r="D22" s="12" t="s">
        <v>129</v>
      </c>
      <c r="E22" s="15" t="s">
        <v>73</v>
      </c>
      <c r="F22" s="11" t="s">
        <v>81</v>
      </c>
      <c r="G22" s="14"/>
    </row>
    <row r="23" spans="1:7" ht="15" customHeight="1">
      <c r="A23" s="10" t="s">
        <v>130</v>
      </c>
      <c r="B23" s="11" t="s">
        <v>33</v>
      </c>
      <c r="C23" s="8" t="s">
        <v>131</v>
      </c>
      <c r="D23" s="12" t="s">
        <v>132</v>
      </c>
      <c r="E23" s="13" t="s">
        <v>61</v>
      </c>
      <c r="F23" s="11" t="s">
        <v>62</v>
      </c>
      <c r="G23" s="14"/>
    </row>
    <row r="24" spans="1:7" ht="15" customHeight="1">
      <c r="A24" s="10" t="s">
        <v>133</v>
      </c>
      <c r="B24" s="11" t="s">
        <v>33</v>
      </c>
      <c r="C24" s="8" t="s">
        <v>134</v>
      </c>
      <c r="D24" s="12" t="s">
        <v>135</v>
      </c>
      <c r="E24" s="13" t="s">
        <v>61</v>
      </c>
      <c r="F24" s="11" t="s">
        <v>62</v>
      </c>
      <c r="G24" s="14"/>
    </row>
    <row r="25" spans="1:7" ht="15" customHeight="1">
      <c r="A25" s="10" t="s">
        <v>136</v>
      </c>
      <c r="B25" s="11" t="s">
        <v>33</v>
      </c>
      <c r="C25" s="8" t="s">
        <v>137</v>
      </c>
      <c r="D25" s="12" t="s">
        <v>138</v>
      </c>
      <c r="E25" s="13" t="s">
        <v>61</v>
      </c>
      <c r="F25" s="11" t="s">
        <v>62</v>
      </c>
      <c r="G25" s="14"/>
    </row>
    <row r="26" spans="1:7" ht="15" customHeight="1">
      <c r="A26" s="10" t="s">
        <v>139</v>
      </c>
      <c r="B26" s="11" t="s">
        <v>33</v>
      </c>
      <c r="C26" s="8" t="s">
        <v>140</v>
      </c>
      <c r="D26" s="12" t="s">
        <v>141</v>
      </c>
      <c r="E26" s="13" t="s">
        <v>61</v>
      </c>
      <c r="F26" s="11" t="s">
        <v>62</v>
      </c>
      <c r="G26" s="14" t="s">
        <v>142</v>
      </c>
    </row>
    <row r="27" spans="1:7" ht="15" customHeight="1">
      <c r="A27" s="10" t="s">
        <v>143</v>
      </c>
      <c r="B27" s="11" t="s">
        <v>33</v>
      </c>
      <c r="C27" s="8" t="s">
        <v>144</v>
      </c>
      <c r="D27" s="12" t="s">
        <v>145</v>
      </c>
      <c r="E27" s="13" t="s">
        <v>61</v>
      </c>
      <c r="F27" s="11" t="s">
        <v>62</v>
      </c>
      <c r="G27" s="14"/>
    </row>
    <row r="28" spans="1:7" ht="29.25" customHeight="1">
      <c r="A28" s="10" t="s">
        <v>146</v>
      </c>
      <c r="B28" s="11" t="s">
        <v>33</v>
      </c>
      <c r="C28" s="8" t="s">
        <v>147</v>
      </c>
      <c r="D28" s="12" t="s">
        <v>148</v>
      </c>
      <c r="E28" s="13" t="s">
        <v>61</v>
      </c>
      <c r="F28" s="11" t="s">
        <v>62</v>
      </c>
      <c r="G28" s="14" t="s">
        <v>149</v>
      </c>
    </row>
    <row r="29" spans="1:7" ht="43.5" customHeight="1">
      <c r="A29" s="10" t="s">
        <v>150</v>
      </c>
      <c r="B29" s="11" t="s">
        <v>33</v>
      </c>
      <c r="C29" s="8" t="s">
        <v>151</v>
      </c>
      <c r="D29" s="12" t="s">
        <v>152</v>
      </c>
      <c r="E29" s="13" t="s">
        <v>61</v>
      </c>
      <c r="F29" s="11" t="s">
        <v>62</v>
      </c>
      <c r="G29" s="14" t="s">
        <v>153</v>
      </c>
    </row>
    <row r="30" spans="1:7" ht="29.25" customHeight="1">
      <c r="A30" s="10" t="s">
        <v>154</v>
      </c>
      <c r="B30" s="11" t="s">
        <v>33</v>
      </c>
      <c r="C30" s="8" t="s">
        <v>155</v>
      </c>
      <c r="D30" s="12" t="s">
        <v>156</v>
      </c>
      <c r="E30" s="15" t="s">
        <v>73</v>
      </c>
      <c r="F30" s="11" t="s">
        <v>62</v>
      </c>
      <c r="G30" s="14" t="s">
        <v>157</v>
      </c>
    </row>
    <row r="31" spans="1:7" ht="29.25" customHeight="1">
      <c r="A31" s="10" t="s">
        <v>158</v>
      </c>
      <c r="B31" s="11" t="s">
        <v>33</v>
      </c>
      <c r="C31" s="8" t="s">
        <v>159</v>
      </c>
      <c r="D31" s="12" t="s">
        <v>160</v>
      </c>
      <c r="E31" s="15" t="s">
        <v>73</v>
      </c>
      <c r="F31" s="11" t="s">
        <v>62</v>
      </c>
      <c r="G31" s="14" t="s">
        <v>161</v>
      </c>
    </row>
    <row r="32" spans="1:7" ht="29.25" customHeight="1">
      <c r="A32" s="10" t="s">
        <v>162</v>
      </c>
      <c r="B32" s="11" t="s">
        <v>33</v>
      </c>
      <c r="C32" s="8" t="s">
        <v>163</v>
      </c>
      <c r="D32" s="12" t="s">
        <v>164</v>
      </c>
      <c r="E32" s="17" t="s">
        <v>107</v>
      </c>
      <c r="F32" s="11" t="s">
        <v>81</v>
      </c>
      <c r="G32" s="14" t="s">
        <v>165</v>
      </c>
    </row>
    <row r="33" spans="1:7" ht="29.25" customHeight="1">
      <c r="A33" s="10" t="s">
        <v>166</v>
      </c>
      <c r="B33" s="11" t="s">
        <v>33</v>
      </c>
      <c r="C33" s="8" t="s">
        <v>167</v>
      </c>
      <c r="D33" s="12" t="s">
        <v>168</v>
      </c>
      <c r="E33" s="15" t="s">
        <v>73</v>
      </c>
      <c r="F33" s="11" t="s">
        <v>62</v>
      </c>
      <c r="G33" s="14" t="s">
        <v>169</v>
      </c>
    </row>
    <row r="34" spans="1:7" ht="15" customHeight="1">
      <c r="A34" s="10" t="s">
        <v>170</v>
      </c>
      <c r="B34" s="11" t="s">
        <v>33</v>
      </c>
      <c r="C34" s="8" t="s">
        <v>171</v>
      </c>
      <c r="D34" s="12" t="s">
        <v>172</v>
      </c>
      <c r="E34" s="15" t="s">
        <v>73</v>
      </c>
      <c r="F34" s="11" t="s">
        <v>62</v>
      </c>
      <c r="G34" s="8" t="s">
        <v>173</v>
      </c>
    </row>
    <row r="35" spans="1:7" ht="15" customHeight="1">
      <c r="A35" s="10" t="s">
        <v>174</v>
      </c>
      <c r="B35" s="11" t="s">
        <v>33</v>
      </c>
      <c r="C35" s="8" t="s">
        <v>175</v>
      </c>
      <c r="D35" s="12" t="s">
        <v>176</v>
      </c>
      <c r="E35" s="15" t="s">
        <v>73</v>
      </c>
      <c r="F35" s="11" t="s">
        <v>62</v>
      </c>
      <c r="G35" s="8" t="s">
        <v>177</v>
      </c>
    </row>
    <row r="36" spans="1:7" ht="29.25" customHeight="1">
      <c r="A36" s="10" t="s">
        <v>178</v>
      </c>
      <c r="B36" s="11" t="s">
        <v>33</v>
      </c>
      <c r="C36" s="8" t="s">
        <v>179</v>
      </c>
      <c r="D36" s="12" t="s">
        <v>180</v>
      </c>
      <c r="E36" s="17" t="s">
        <v>107</v>
      </c>
      <c r="F36" s="11" t="s">
        <v>81</v>
      </c>
      <c r="G36" s="8" t="s">
        <v>177</v>
      </c>
    </row>
    <row r="37" spans="1:7" ht="15" customHeight="1">
      <c r="A37" s="10" t="s">
        <v>181</v>
      </c>
      <c r="B37" s="11" t="s">
        <v>35</v>
      </c>
      <c r="C37" s="8" t="s">
        <v>182</v>
      </c>
      <c r="D37" s="12" t="s">
        <v>183</v>
      </c>
      <c r="E37" s="13" t="s">
        <v>61</v>
      </c>
      <c r="F37" s="11" t="s">
        <v>62</v>
      </c>
      <c r="G37" s="14"/>
    </row>
    <row r="38" spans="1:7" ht="15" customHeight="1">
      <c r="A38" s="10" t="s">
        <v>184</v>
      </c>
      <c r="B38" s="11" t="s">
        <v>35</v>
      </c>
      <c r="C38" s="8" t="s">
        <v>185</v>
      </c>
      <c r="D38" s="12" t="s">
        <v>186</v>
      </c>
      <c r="E38" s="13" t="s">
        <v>61</v>
      </c>
      <c r="F38" s="11" t="s">
        <v>62</v>
      </c>
      <c r="G38" s="14" t="s">
        <v>187</v>
      </c>
    </row>
    <row r="39" spans="1:7" ht="23.25" customHeight="1">
      <c r="A39" s="10" t="s">
        <v>188</v>
      </c>
      <c r="B39" s="11" t="s">
        <v>35</v>
      </c>
      <c r="C39" s="8" t="s">
        <v>189</v>
      </c>
      <c r="D39" s="12" t="s">
        <v>190</v>
      </c>
      <c r="E39" s="13" t="s">
        <v>61</v>
      </c>
      <c r="F39" s="11" t="s">
        <v>62</v>
      </c>
      <c r="G39" s="14" t="s">
        <v>191</v>
      </c>
    </row>
    <row r="40" spans="1:7" ht="23.25" customHeight="1">
      <c r="A40" s="10" t="s">
        <v>192</v>
      </c>
      <c r="B40" s="11" t="s">
        <v>35</v>
      </c>
      <c r="C40" s="8" t="s">
        <v>193</v>
      </c>
      <c r="D40" s="12" t="s">
        <v>194</v>
      </c>
      <c r="E40" s="13" t="s">
        <v>61</v>
      </c>
      <c r="F40" s="11" t="s">
        <v>62</v>
      </c>
      <c r="G40" s="14" t="s">
        <v>191</v>
      </c>
    </row>
    <row r="41" spans="1:7" ht="29.25" customHeight="1">
      <c r="A41" s="10" t="s">
        <v>195</v>
      </c>
      <c r="B41" s="11" t="s">
        <v>35</v>
      </c>
      <c r="C41" s="8" t="s">
        <v>196</v>
      </c>
      <c r="D41" s="12" t="s">
        <v>197</v>
      </c>
      <c r="E41" s="13" t="s">
        <v>61</v>
      </c>
      <c r="F41" s="11" t="s">
        <v>62</v>
      </c>
      <c r="G41" s="8" t="s">
        <v>198</v>
      </c>
    </row>
    <row r="42" spans="1:7" ht="15" customHeight="1">
      <c r="A42" s="10" t="s">
        <v>199</v>
      </c>
      <c r="B42" s="11" t="s">
        <v>35</v>
      </c>
      <c r="C42" s="8" t="s">
        <v>200</v>
      </c>
      <c r="D42" s="12" t="s">
        <v>201</v>
      </c>
      <c r="E42" s="15" t="s">
        <v>73</v>
      </c>
      <c r="F42" s="11" t="s">
        <v>81</v>
      </c>
      <c r="G42" s="14"/>
    </row>
    <row r="43" spans="1:7" ht="15" customHeight="1">
      <c r="A43" s="10" t="s">
        <v>202</v>
      </c>
      <c r="B43" s="11" t="s">
        <v>37</v>
      </c>
      <c r="C43" s="8" t="s">
        <v>203</v>
      </c>
      <c r="D43" s="12" t="s">
        <v>204</v>
      </c>
      <c r="E43" s="13" t="s">
        <v>61</v>
      </c>
      <c r="F43" s="11" t="s">
        <v>62</v>
      </c>
      <c r="G43" s="14"/>
    </row>
    <row r="44" spans="1:7" ht="15" customHeight="1">
      <c r="A44" s="10" t="s">
        <v>205</v>
      </c>
      <c r="B44" s="11" t="s">
        <v>37</v>
      </c>
      <c r="C44" s="8" t="s">
        <v>206</v>
      </c>
      <c r="D44" s="12" t="s">
        <v>207</v>
      </c>
      <c r="E44" s="13" t="s">
        <v>61</v>
      </c>
      <c r="F44" s="11" t="s">
        <v>62</v>
      </c>
      <c r="G44" s="14"/>
    </row>
    <row r="45" spans="1:7" ht="29.25" customHeight="1">
      <c r="A45" s="10" t="s">
        <v>208</v>
      </c>
      <c r="B45" s="11" t="s">
        <v>37</v>
      </c>
      <c r="C45" s="14" t="s">
        <v>209</v>
      </c>
      <c r="D45" s="12" t="s">
        <v>210</v>
      </c>
      <c r="E45" s="15" t="s">
        <v>73</v>
      </c>
      <c r="F45" s="11" t="s">
        <v>62</v>
      </c>
      <c r="G45" s="8" t="s">
        <v>211</v>
      </c>
    </row>
    <row r="46" spans="1:7" ht="15" customHeight="1">
      <c r="A46" s="10" t="s">
        <v>212</v>
      </c>
      <c r="B46" s="11" t="s">
        <v>37</v>
      </c>
      <c r="C46" s="8" t="s">
        <v>213</v>
      </c>
      <c r="D46" s="12" t="s">
        <v>214</v>
      </c>
      <c r="E46" s="15" t="s">
        <v>73</v>
      </c>
      <c r="F46" s="11" t="s">
        <v>81</v>
      </c>
      <c r="G46" s="14"/>
    </row>
    <row r="47" spans="1:7" ht="15" customHeight="1">
      <c r="A47" s="10" t="s">
        <v>215</v>
      </c>
      <c r="B47" s="11" t="s">
        <v>37</v>
      </c>
      <c r="C47" s="8" t="s">
        <v>216</v>
      </c>
      <c r="D47" s="12" t="s">
        <v>217</v>
      </c>
      <c r="E47" s="15" t="s">
        <v>73</v>
      </c>
      <c r="F47" s="11" t="s">
        <v>62</v>
      </c>
      <c r="G47" s="14"/>
    </row>
    <row r="48" spans="1:7" ht="15" customHeight="1">
      <c r="A48" s="10" t="s">
        <v>218</v>
      </c>
      <c r="B48" s="11" t="s">
        <v>37</v>
      </c>
      <c r="C48" s="8" t="s">
        <v>219</v>
      </c>
      <c r="D48" s="12" t="s">
        <v>220</v>
      </c>
      <c r="E48" s="13" t="s">
        <v>61</v>
      </c>
      <c r="F48" s="11" t="s">
        <v>62</v>
      </c>
      <c r="G48" s="14"/>
    </row>
    <row r="49" spans="1:7" ht="15" customHeight="1">
      <c r="A49" s="10" t="s">
        <v>221</v>
      </c>
      <c r="B49" s="11" t="s">
        <v>37</v>
      </c>
      <c r="C49" s="14" t="s">
        <v>222</v>
      </c>
      <c r="D49" s="12" t="s">
        <v>223</v>
      </c>
      <c r="E49" s="15" t="s">
        <v>73</v>
      </c>
      <c r="F49" s="11" t="s">
        <v>81</v>
      </c>
      <c r="G49" s="14"/>
    </row>
    <row r="50" spans="1:7" ht="15" customHeight="1">
      <c r="A50" s="10" t="s">
        <v>224</v>
      </c>
      <c r="B50" s="11" t="s">
        <v>39</v>
      </c>
      <c r="C50" s="8" t="s">
        <v>225</v>
      </c>
      <c r="D50" s="12" t="s">
        <v>226</v>
      </c>
      <c r="E50" s="13" t="s">
        <v>61</v>
      </c>
      <c r="F50" s="11" t="s">
        <v>62</v>
      </c>
      <c r="G50" s="14"/>
    </row>
    <row r="51" spans="1:7" ht="15" customHeight="1">
      <c r="A51" s="10" t="s">
        <v>227</v>
      </c>
      <c r="B51" s="11" t="s">
        <v>39</v>
      </c>
      <c r="C51" s="8" t="s">
        <v>228</v>
      </c>
      <c r="D51" s="12" t="s">
        <v>229</v>
      </c>
      <c r="E51" s="13" t="s">
        <v>61</v>
      </c>
      <c r="F51" s="11" t="s">
        <v>62</v>
      </c>
      <c r="G51" s="14"/>
    </row>
    <row r="52" spans="1:7" ht="15" customHeight="1">
      <c r="A52" s="10" t="s">
        <v>230</v>
      </c>
      <c r="B52" s="11" t="s">
        <v>39</v>
      </c>
      <c r="C52" s="8" t="s">
        <v>231</v>
      </c>
      <c r="D52" s="12" t="s">
        <v>232</v>
      </c>
      <c r="E52" s="15" t="s">
        <v>73</v>
      </c>
      <c r="F52" s="11" t="s">
        <v>81</v>
      </c>
      <c r="G52" s="14"/>
    </row>
    <row r="53" spans="1:7" ht="15" customHeight="1">
      <c r="A53" s="10" t="s">
        <v>233</v>
      </c>
      <c r="B53" s="11" t="s">
        <v>39</v>
      </c>
      <c r="C53" s="8" t="s">
        <v>234</v>
      </c>
      <c r="D53" s="12" t="s">
        <v>235</v>
      </c>
      <c r="E53" s="15" t="s">
        <v>73</v>
      </c>
      <c r="F53" s="11" t="s">
        <v>62</v>
      </c>
      <c r="G53" s="14"/>
    </row>
    <row r="54" spans="1:7" ht="43.5" customHeight="1">
      <c r="A54" s="10" t="s">
        <v>236</v>
      </c>
      <c r="B54" s="11" t="s">
        <v>39</v>
      </c>
      <c r="C54" s="8" t="s">
        <v>237</v>
      </c>
      <c r="D54" s="12" t="s">
        <v>238</v>
      </c>
      <c r="E54" s="15" t="s">
        <v>73</v>
      </c>
      <c r="F54" s="11" t="s">
        <v>62</v>
      </c>
      <c r="G54" s="14" t="s">
        <v>239</v>
      </c>
    </row>
    <row r="55" spans="1:7" ht="15" customHeight="1">
      <c r="A55" s="10" t="s">
        <v>240</v>
      </c>
      <c r="B55" s="11" t="s">
        <v>39</v>
      </c>
      <c r="C55" s="8" t="s">
        <v>241</v>
      </c>
      <c r="D55" s="12" t="s">
        <v>242</v>
      </c>
      <c r="E55" s="17" t="s">
        <v>107</v>
      </c>
      <c r="F55" s="11" t="s">
        <v>81</v>
      </c>
      <c r="G55" s="14"/>
    </row>
    <row r="56" spans="1:7" ht="15" customHeight="1">
      <c r="A56" s="10" t="s">
        <v>243</v>
      </c>
      <c r="B56" s="11" t="s">
        <v>41</v>
      </c>
      <c r="C56" s="8" t="s">
        <v>244</v>
      </c>
      <c r="D56" s="12" t="s">
        <v>245</v>
      </c>
      <c r="E56" s="15" t="s">
        <v>73</v>
      </c>
      <c r="F56" s="11" t="s">
        <v>62</v>
      </c>
      <c r="G56" s="14" t="s">
        <v>246</v>
      </c>
    </row>
    <row r="57" spans="1:7" ht="29.25" customHeight="1">
      <c r="A57" s="10" t="s">
        <v>247</v>
      </c>
      <c r="B57" s="11" t="s">
        <v>41</v>
      </c>
      <c r="C57" s="8" t="s">
        <v>248</v>
      </c>
      <c r="D57" s="12" t="s">
        <v>249</v>
      </c>
      <c r="E57" s="15" t="s">
        <v>73</v>
      </c>
      <c r="F57" s="11" t="s">
        <v>62</v>
      </c>
      <c r="G57" s="8" t="s">
        <v>250</v>
      </c>
    </row>
    <row r="58" spans="1:7" ht="15" customHeight="1">
      <c r="A58" s="10" t="s">
        <v>251</v>
      </c>
      <c r="B58" s="11" t="s">
        <v>41</v>
      </c>
      <c r="C58" s="8" t="s">
        <v>252</v>
      </c>
      <c r="D58" s="12" t="s">
        <v>253</v>
      </c>
      <c r="E58" s="15" t="s">
        <v>73</v>
      </c>
      <c r="F58" s="11" t="s">
        <v>62</v>
      </c>
      <c r="G58" s="14"/>
    </row>
    <row r="59" spans="1:7" ht="15" customHeight="1">
      <c r="A59" s="10" t="s">
        <v>254</v>
      </c>
      <c r="B59" s="11" t="s">
        <v>41</v>
      </c>
      <c r="C59" s="8" t="s">
        <v>255</v>
      </c>
      <c r="D59" s="12" t="s">
        <v>256</v>
      </c>
      <c r="E59" s="15" t="s">
        <v>73</v>
      </c>
      <c r="F59" s="11" t="s">
        <v>81</v>
      </c>
      <c r="G59" s="8" t="s">
        <v>257</v>
      </c>
    </row>
    <row r="60" spans="1:7" ht="15" customHeight="1">
      <c r="A60" s="10" t="s">
        <v>258</v>
      </c>
      <c r="B60" s="11" t="s">
        <v>41</v>
      </c>
      <c r="C60" s="8" t="s">
        <v>259</v>
      </c>
      <c r="D60" s="12" t="s">
        <v>260</v>
      </c>
      <c r="E60" s="17" t="s">
        <v>107</v>
      </c>
      <c r="F60" s="11" t="s">
        <v>81</v>
      </c>
      <c r="G60" s="14"/>
    </row>
    <row r="61" spans="1:7" ht="15" customHeight="1">
      <c r="A61" s="10" t="s">
        <v>261</v>
      </c>
      <c r="B61" s="11" t="s">
        <v>41</v>
      </c>
      <c r="C61" s="8" t="s">
        <v>262</v>
      </c>
      <c r="D61" s="12" t="s">
        <v>263</v>
      </c>
      <c r="E61" s="17" t="s">
        <v>107</v>
      </c>
      <c r="F61" s="11" t="s">
        <v>81</v>
      </c>
      <c r="G61" s="14"/>
    </row>
    <row r="62" spans="1:7" ht="29.25" customHeight="1">
      <c r="A62" s="10" t="s">
        <v>264</v>
      </c>
      <c r="B62" s="11" t="s">
        <v>43</v>
      </c>
      <c r="C62" s="8" t="s">
        <v>265</v>
      </c>
      <c r="D62" s="16" t="s">
        <v>266</v>
      </c>
      <c r="E62" s="15" t="s">
        <v>73</v>
      </c>
      <c r="F62" s="11" t="s">
        <v>62</v>
      </c>
      <c r="G62" s="8" t="s">
        <v>267</v>
      </c>
    </row>
    <row r="63" spans="1:7" ht="26.25" customHeight="1">
      <c r="A63" s="10" t="s">
        <v>268</v>
      </c>
      <c r="B63" s="11" t="s">
        <v>43</v>
      </c>
      <c r="C63" s="8" t="s">
        <v>269</v>
      </c>
      <c r="D63" s="16" t="s">
        <v>270</v>
      </c>
      <c r="E63" s="15" t="s">
        <v>73</v>
      </c>
      <c r="F63" s="11" t="s">
        <v>62</v>
      </c>
      <c r="G63" s="8" t="s">
        <v>267</v>
      </c>
    </row>
    <row r="64" spans="1:7" ht="29.25" customHeight="1">
      <c r="A64" s="10" t="s">
        <v>271</v>
      </c>
      <c r="B64" s="11" t="s">
        <v>43</v>
      </c>
      <c r="C64" s="8" t="s">
        <v>272</v>
      </c>
      <c r="D64" s="12" t="s">
        <v>273</v>
      </c>
      <c r="E64" s="15" t="s">
        <v>73</v>
      </c>
      <c r="F64" s="11" t="s">
        <v>62</v>
      </c>
      <c r="G64" s="8" t="s">
        <v>274</v>
      </c>
    </row>
    <row r="65" spans="1:7" ht="15" customHeight="1">
      <c r="A65" s="10" t="s">
        <v>275</v>
      </c>
      <c r="B65" s="11" t="s">
        <v>43</v>
      </c>
      <c r="C65" s="8" t="s">
        <v>276</v>
      </c>
      <c r="D65" s="12" t="s">
        <v>277</v>
      </c>
      <c r="E65" s="15" t="s">
        <v>73</v>
      </c>
      <c r="F65" s="11" t="s">
        <v>62</v>
      </c>
      <c r="G65" s="14"/>
    </row>
    <row r="66" spans="1:7" ht="15" customHeight="1">
      <c r="A66" s="10" t="s">
        <v>278</v>
      </c>
      <c r="B66" s="11" t="s">
        <v>43</v>
      </c>
      <c r="C66" s="8" t="s">
        <v>279</v>
      </c>
      <c r="D66" s="12" t="s">
        <v>280</v>
      </c>
      <c r="E66" s="15" t="s">
        <v>73</v>
      </c>
      <c r="F66" s="11" t="s">
        <v>81</v>
      </c>
      <c r="G66" s="14"/>
    </row>
    <row r="67" spans="1:7" ht="15" customHeight="1">
      <c r="A67" s="10" t="s">
        <v>281</v>
      </c>
      <c r="B67" s="11" t="s">
        <v>43</v>
      </c>
      <c r="C67" s="8" t="s">
        <v>282</v>
      </c>
      <c r="D67" s="16" t="s">
        <v>283</v>
      </c>
      <c r="E67" s="17" t="s">
        <v>107</v>
      </c>
      <c r="F67" s="11" t="s">
        <v>81</v>
      </c>
      <c r="G67" s="14"/>
    </row>
    <row r="68" spans="1:7" ht="15" customHeight="1">
      <c r="A68" s="10" t="s">
        <v>284</v>
      </c>
      <c r="B68" s="11" t="s">
        <v>45</v>
      </c>
      <c r="C68" s="14" t="s">
        <v>285</v>
      </c>
      <c r="D68" s="12" t="s">
        <v>286</v>
      </c>
      <c r="E68" s="17" t="s">
        <v>107</v>
      </c>
      <c r="F68" s="11" t="s">
        <v>81</v>
      </c>
      <c r="G68" s="8" t="s">
        <v>287</v>
      </c>
    </row>
    <row r="69" spans="1:7" ht="29.25" customHeight="1">
      <c r="A69" s="10" t="s">
        <v>288</v>
      </c>
      <c r="B69" s="11" t="s">
        <v>45</v>
      </c>
      <c r="C69" s="8" t="s">
        <v>289</v>
      </c>
      <c r="D69" s="16" t="s">
        <v>290</v>
      </c>
      <c r="E69" s="17" t="s">
        <v>107</v>
      </c>
      <c r="F69" s="11" t="s">
        <v>81</v>
      </c>
      <c r="G69" s="8" t="s">
        <v>291</v>
      </c>
    </row>
    <row r="70" spans="1:7" ht="15" customHeight="1">
      <c r="A70" s="10" t="s">
        <v>292</v>
      </c>
      <c r="B70" s="11" t="s">
        <v>45</v>
      </c>
      <c r="C70" s="8" t="s">
        <v>293</v>
      </c>
      <c r="D70" s="12" t="s">
        <v>294</v>
      </c>
      <c r="E70" s="17" t="s">
        <v>107</v>
      </c>
      <c r="F70" s="11" t="s">
        <v>81</v>
      </c>
      <c r="G70" s="8" t="s">
        <v>287</v>
      </c>
    </row>
    <row r="71" spans="1:7" ht="15" customHeight="1">
      <c r="A71" s="10" t="s">
        <v>295</v>
      </c>
      <c r="B71" s="11" t="s">
        <v>45</v>
      </c>
      <c r="C71" s="8" t="s">
        <v>296</v>
      </c>
      <c r="D71" s="16" t="s">
        <v>297</v>
      </c>
      <c r="E71" s="17" t="s">
        <v>107</v>
      </c>
      <c r="F71" s="11" t="s">
        <v>81</v>
      </c>
      <c r="G71" s="8" t="s">
        <v>298</v>
      </c>
    </row>
    <row r="72" spans="1:7" ht="15" customHeight="1">
      <c r="A72" s="10" t="s">
        <v>299</v>
      </c>
      <c r="B72" s="11" t="s">
        <v>47</v>
      </c>
      <c r="C72" s="8" t="s">
        <v>300</v>
      </c>
      <c r="D72" s="12" t="s">
        <v>301</v>
      </c>
      <c r="E72" s="13" t="s">
        <v>61</v>
      </c>
      <c r="F72" s="11" t="s">
        <v>62</v>
      </c>
      <c r="G72" s="14"/>
    </row>
    <row r="73" spans="1:7" ht="15" customHeight="1">
      <c r="A73" s="10" t="s">
        <v>302</v>
      </c>
      <c r="B73" s="11" t="s">
        <v>47</v>
      </c>
      <c r="C73" s="8" t="s">
        <v>303</v>
      </c>
      <c r="D73" s="12" t="s">
        <v>304</v>
      </c>
      <c r="E73" s="15" t="s">
        <v>73</v>
      </c>
      <c r="F73" s="11" t="s">
        <v>62</v>
      </c>
      <c r="G73" s="14"/>
    </row>
    <row r="74" spans="1:7" ht="15" customHeight="1">
      <c r="A74" s="10" t="s">
        <v>305</v>
      </c>
      <c r="B74" s="11" t="s">
        <v>47</v>
      </c>
      <c r="C74" s="8" t="s">
        <v>306</v>
      </c>
      <c r="D74" s="12" t="s">
        <v>307</v>
      </c>
      <c r="E74" s="17" t="s">
        <v>107</v>
      </c>
      <c r="F74" s="11" t="s">
        <v>81</v>
      </c>
      <c r="G74" s="14"/>
    </row>
    <row r="75" spans="1:7" ht="15" customHeight="1">
      <c r="A75" s="10" t="s">
        <v>308</v>
      </c>
      <c r="B75" s="11" t="s">
        <v>49</v>
      </c>
      <c r="C75" s="8" t="s">
        <v>309</v>
      </c>
      <c r="D75" s="12" t="s">
        <v>310</v>
      </c>
      <c r="E75" s="13" t="s">
        <v>61</v>
      </c>
      <c r="F75" s="11" t="s">
        <v>62</v>
      </c>
      <c r="G75" s="14"/>
    </row>
    <row r="76" spans="1:7" ht="15" customHeight="1">
      <c r="A76" s="10" t="s">
        <v>311</v>
      </c>
      <c r="B76" s="11" t="s">
        <v>49</v>
      </c>
      <c r="C76" s="14" t="s">
        <v>312</v>
      </c>
      <c r="D76" s="16" t="s">
        <v>313</v>
      </c>
      <c r="E76" s="13" t="s">
        <v>61</v>
      </c>
      <c r="F76" s="11" t="s">
        <v>62</v>
      </c>
      <c r="G76" s="14"/>
    </row>
    <row r="77" spans="1:7" ht="29.25" customHeight="1">
      <c r="A77" s="10" t="s">
        <v>314</v>
      </c>
      <c r="B77" s="11" t="s">
        <v>49</v>
      </c>
      <c r="C77" s="8" t="s">
        <v>315</v>
      </c>
      <c r="D77" s="12" t="s">
        <v>316</v>
      </c>
      <c r="E77" s="13" t="s">
        <v>61</v>
      </c>
      <c r="F77" s="11" t="s">
        <v>62</v>
      </c>
      <c r="G77" s="14" t="s">
        <v>317</v>
      </c>
    </row>
    <row r="78" spans="1:7" ht="15" customHeight="1">
      <c r="A78" s="10" t="s">
        <v>318</v>
      </c>
      <c r="B78" s="11" t="s">
        <v>49</v>
      </c>
      <c r="C78" s="8" t="s">
        <v>319</v>
      </c>
      <c r="D78" s="12" t="s">
        <v>320</v>
      </c>
      <c r="E78" s="15" t="s">
        <v>73</v>
      </c>
      <c r="F78" s="11" t="s">
        <v>62</v>
      </c>
      <c r="G78" s="14"/>
    </row>
    <row r="79" spans="1:7" ht="15" customHeight="1">
      <c r="A79" s="10" t="s">
        <v>321</v>
      </c>
      <c r="B79" s="11" t="s">
        <v>49</v>
      </c>
      <c r="C79" s="8" t="s">
        <v>322</v>
      </c>
      <c r="D79" s="12" t="s">
        <v>323</v>
      </c>
      <c r="E79" s="15" t="s">
        <v>73</v>
      </c>
      <c r="F79" s="11" t="s">
        <v>62</v>
      </c>
      <c r="G79" s="14"/>
    </row>
    <row r="80" spans="1:7" ht="15" customHeight="1">
      <c r="A80" s="10" t="s">
        <v>324</v>
      </c>
      <c r="B80" s="11" t="s">
        <v>51</v>
      </c>
      <c r="C80" s="8" t="s">
        <v>325</v>
      </c>
      <c r="D80" s="12" t="s">
        <v>326</v>
      </c>
      <c r="E80" s="15" t="s">
        <v>73</v>
      </c>
      <c r="F80" s="11" t="s">
        <v>62</v>
      </c>
      <c r="G80" s="14"/>
    </row>
    <row r="81" spans="1:7" ht="15" customHeight="1">
      <c r="A81" s="10" t="s">
        <v>327</v>
      </c>
      <c r="B81" s="11" t="s">
        <v>51</v>
      </c>
      <c r="C81" s="8" t="s">
        <v>328</v>
      </c>
      <c r="D81" s="12" t="s">
        <v>329</v>
      </c>
      <c r="E81" s="15" t="s">
        <v>73</v>
      </c>
      <c r="F81" s="11" t="s">
        <v>62</v>
      </c>
      <c r="G81" s="14"/>
    </row>
    <row r="82" spans="1:7" ht="15" customHeight="1">
      <c r="A82" s="10" t="s">
        <v>330</v>
      </c>
      <c r="B82" s="11" t="s">
        <v>51</v>
      </c>
      <c r="C82" s="8" t="s">
        <v>331</v>
      </c>
      <c r="D82" s="12" t="s">
        <v>332</v>
      </c>
      <c r="E82" s="17" t="s">
        <v>107</v>
      </c>
      <c r="F82" s="11" t="s">
        <v>81</v>
      </c>
      <c r="G82" s="14"/>
    </row>
  </sheetData>
  <autoFilter ref="A3:G82" xr:uid="{00000000-0009-0000-0000-000001000000}"/>
  <mergeCells count="1">
    <mergeCell ref="A1:G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기능요건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ins 12</cp:lastModifiedBy>
  <cp:revision>0</cp:revision>
  <dcterms:created xsi:type="dcterms:W3CDTF">2026-07-20T02:05:27Z</dcterms:created>
  <dcterms:modified xsi:type="dcterms:W3CDTF">2026-07-21T00:25:40Z</dcterms:modified>
  <dc:language>en-US</dc:language>
</cp:coreProperties>
</file>